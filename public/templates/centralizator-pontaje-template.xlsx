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confederatiaconcordia.sharepoint.com/sites/PEO2024-2028/Shared Documents/General/RAPORTARE_TEHNICA/SA1.1_Grup Tinta/IVANOV ROXANA/Robotei/Etapa 3/"/>
    </mc:Choice>
  </mc:AlternateContent>
  <xr:revisionPtr revIDLastSave="84" documentId="11_F25DC773A252ABDACC1048E6499A61D25BDE58EC" xr6:coauthVersionLast="47" xr6:coauthVersionMax="47" xr10:uidLastSave="{705AA86C-6EDB-400E-8D88-760E904CDD1E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1" l="1"/>
  <c r="L27" i="1" s="1"/>
  <c r="J27" i="1"/>
  <c r="L26" i="1"/>
  <c r="K26" i="1"/>
  <c r="J26" i="1"/>
  <c r="K25" i="1"/>
  <c r="J25" i="1"/>
  <c r="L25" i="1" s="1"/>
  <c r="K24" i="1"/>
  <c r="J24" i="1"/>
  <c r="L24" i="1" s="1"/>
  <c r="K23" i="1"/>
  <c r="L23" i="1" s="1"/>
  <c r="J23" i="1"/>
  <c r="L22" i="1"/>
  <c r="K22" i="1"/>
  <c r="J22" i="1"/>
  <c r="K21" i="1"/>
  <c r="J21" i="1"/>
  <c r="L21" i="1" s="1"/>
  <c r="K20" i="1"/>
  <c r="J20" i="1"/>
  <c r="L20" i="1" s="1"/>
  <c r="K19" i="1"/>
  <c r="L19" i="1" s="1"/>
  <c r="J19" i="1"/>
  <c r="L18" i="1"/>
  <c r="K18" i="1"/>
  <c r="J18" i="1"/>
  <c r="K17" i="1"/>
  <c r="J17" i="1"/>
  <c r="L17" i="1" s="1"/>
  <c r="K16" i="1"/>
  <c r="J16" i="1"/>
  <c r="L16" i="1" s="1"/>
  <c r="K15" i="1"/>
  <c r="L15" i="1" s="1"/>
  <c r="J15" i="1"/>
  <c r="L14" i="1"/>
  <c r="K14" i="1"/>
  <c r="J14" i="1"/>
  <c r="K13" i="1"/>
  <c r="J13" i="1"/>
  <c r="L13" i="1" s="1"/>
  <c r="K12" i="1"/>
  <c r="J12" i="1"/>
  <c r="L12" i="1" s="1"/>
  <c r="K11" i="1"/>
  <c r="L11" i="1" s="1"/>
  <c r="J11" i="1"/>
  <c r="L10" i="1"/>
  <c r="K10" i="1"/>
  <c r="J10" i="1"/>
  <c r="K9" i="1"/>
  <c r="J9" i="1"/>
  <c r="L9" i="1" s="1"/>
  <c r="K8" i="1"/>
  <c r="J8" i="1"/>
  <c r="L8" i="1" s="1"/>
  <c r="K7" i="1"/>
  <c r="L7" i="1" s="1"/>
  <c r="J7" i="1"/>
  <c r="L6" i="1"/>
  <c r="K6" i="1"/>
  <c r="J6" i="1"/>
  <c r="K5" i="1"/>
  <c r="J5" i="1"/>
  <c r="L5" i="1" s="1"/>
  <c r="K4" i="1"/>
  <c r="J4" i="1"/>
  <c r="L4" i="1" s="1"/>
  <c r="K3" i="1"/>
  <c r="L3" i="1" s="1"/>
  <c r="J3" i="1"/>
</calcChain>
</file>

<file path=xl/sharedStrings.xml><?xml version="1.0" encoding="utf-8"?>
<sst xmlns="http://schemas.openxmlformats.org/spreadsheetml/2006/main" count="191" uniqueCount="78">
  <si>
    <t>IUNIE 2026 - ALOCARE ORE SALARIATI (ACTIVITATE CURENTA SI PROIECTE)</t>
  </si>
  <si>
    <t>SALARIAT</t>
  </si>
  <si>
    <t>POZITIA DE BAZA (CONCORDIA)</t>
  </si>
  <si>
    <t>ORE LUCRATE CONCORDIA</t>
  </si>
  <si>
    <t>ORE CO CONCORDIA</t>
  </si>
  <si>
    <t>FUNCTIA IN PEO</t>
  </si>
  <si>
    <t>ORE LUCRATE PEO</t>
  </si>
  <si>
    <t>ORE CO PEO</t>
  </si>
  <si>
    <t>FUNCTIA IN GOODWORKS4ALL</t>
  </si>
  <si>
    <t>ORE LUCRATE GOODWORKS4ALL</t>
  </si>
  <si>
    <t>TOTAL ORE LUCRATE</t>
  </si>
  <si>
    <t>TOTAL ORE CO</t>
  </si>
  <si>
    <t>TOTAL ORE LUNA</t>
  </si>
  <si>
    <t>ANDREI ADELINA</t>
  </si>
  <si>
    <t>-</t>
  </si>
  <si>
    <t>Asistent Manager</t>
  </si>
  <si>
    <t>ANGHEL LILIANA</t>
  </si>
  <si>
    <t>Responsabil protocol și curățenie</t>
  </si>
  <si>
    <t>APARASCHIVEI PAUL</t>
  </si>
  <si>
    <t>Executive Director</t>
  </si>
  <si>
    <t>CIUCIULA MALVINA</t>
  </si>
  <si>
    <t>COJOCARU ANDREEA</t>
  </si>
  <si>
    <t>Senior Public Affairs Specialist</t>
  </si>
  <si>
    <t>Expert Afaceri Publice 2</t>
  </si>
  <si>
    <t>Project Officer</t>
  </si>
  <si>
    <t>COLCERU ALEXANDRA</t>
  </si>
  <si>
    <t>Responsabil informare si comunicare</t>
  </si>
  <si>
    <t>DABU ADELINA</t>
  </si>
  <si>
    <t>Head of Public Affairs</t>
  </si>
  <si>
    <t>DIACONU BOGDANA</t>
  </si>
  <si>
    <t>Deputy Director</t>
  </si>
  <si>
    <t>Project Coordinator</t>
  </si>
  <si>
    <t>DOBRE LUCIA</t>
  </si>
  <si>
    <t>ENACHE ALEXANDRU</t>
  </si>
  <si>
    <t>Coordonator Business HUB</t>
  </si>
  <si>
    <t>GRIGORAS MIHAELA</t>
  </si>
  <si>
    <t>Manager Proiect</t>
  </si>
  <si>
    <t>HALIT NIDA</t>
  </si>
  <si>
    <t>Expert informare si comunicare</t>
  </si>
  <si>
    <t>IANOS RADU</t>
  </si>
  <si>
    <t>Expert Afaceri Publice 4</t>
  </si>
  <si>
    <t>Communication Officer</t>
  </si>
  <si>
    <t>IVANOV ROXANA</t>
  </si>
  <si>
    <t>Expert recrutare si selectie grup tinta</t>
  </si>
  <si>
    <t>KHAMISSI SIMONA</t>
  </si>
  <si>
    <t>Senior Administrative</t>
  </si>
  <si>
    <t>Expert cu protectia datelor cu caracter personal</t>
  </si>
  <si>
    <t>LOLEA IULIAN</t>
  </si>
  <si>
    <t>Macroeconomist</t>
  </si>
  <si>
    <t>NEAGU LIVIU</t>
  </si>
  <si>
    <t>Public Affairs Specialist</t>
  </si>
  <si>
    <t xml:space="preserve">Expert cercetare si analize </t>
  </si>
  <si>
    <t>NEGHINA ALEXANDRU</t>
  </si>
  <si>
    <t>Expert Financiar</t>
  </si>
  <si>
    <t>NICOLAE IRINA</t>
  </si>
  <si>
    <t>Coordonator Centre Regionale</t>
  </si>
  <si>
    <t>NITA CATALIN</t>
  </si>
  <si>
    <t>Reprezentant pentru Dialog Social si Civic</t>
  </si>
  <si>
    <t>POPA CORINA</t>
  </si>
  <si>
    <t>Expert achizitii</t>
  </si>
  <si>
    <t>TOMA BIANCA</t>
  </si>
  <si>
    <t>Public Affairs Manager</t>
  </si>
  <si>
    <t xml:space="preserve">Expert Afaceri Publice </t>
  </si>
  <si>
    <t>UNGUREANU DIANA</t>
  </si>
  <si>
    <t>Head of Admin, Compl. and Finance</t>
  </si>
  <si>
    <t>Expert Financiar 2</t>
  </si>
  <si>
    <t>ZAHARIA DANIEL</t>
  </si>
  <si>
    <t>Responsabil Centru Regional Iasi</t>
  </si>
  <si>
    <t>ZVINCA GABRIEL</t>
  </si>
  <si>
    <t>Responsabil Afaceri Publice</t>
  </si>
  <si>
    <t>NORMA DE LUCRU EXPERTI PEO</t>
  </si>
  <si>
    <t>NORMA PEO</t>
  </si>
  <si>
    <t>8 h/zi</t>
  </si>
  <si>
    <t>6 h/zi</t>
  </si>
  <si>
    <t>4 h/zi</t>
  </si>
  <si>
    <t>130 h/luna</t>
  </si>
  <si>
    <t>126 h/luna</t>
  </si>
  <si>
    <t>NORMA CIM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</si>
</sst>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i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1" fontId="3" fillId="0" borderId="6" xfId="0" applyNumberFormat="1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0" fontId="3" fillId="5" borderId="9" xfId="0" applyFont="1" applyFill="1" applyBorder="1" applyAlignment="1">
      <alignment vertical="center" wrapText="1"/>
    </xf>
    <xf numFmtId="1" fontId="3" fillId="5" borderId="10" xfId="0" applyNumberFormat="1" applyFont="1" applyFill="1" applyBorder="1" applyAlignment="1">
      <alignment horizontal="center" vertical="center" wrapText="1"/>
    </xf>
    <xf numFmtId="1" fontId="3" fillId="5" borderId="11" xfId="0" applyNumberFormat="1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left" vertical="center" wrapText="1"/>
    </xf>
    <xf numFmtId="1" fontId="4" fillId="6" borderId="10" xfId="0" applyNumberFormat="1" applyFont="1" applyFill="1" applyBorder="1" applyAlignment="1">
      <alignment horizontal="center" vertical="center" wrapText="1"/>
    </xf>
    <xf numFmtId="1" fontId="4" fillId="7" borderId="12" xfId="0" applyNumberFormat="1" applyFont="1" applyFill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1" fontId="3" fillId="0" borderId="14" xfId="0" applyNumberFormat="1" applyFont="1" applyBorder="1" applyAlignment="1">
      <alignment horizontal="center" vertical="center" wrapText="1"/>
    </xf>
    <xf numFmtId="1" fontId="3" fillId="0" borderId="1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1" fontId="4" fillId="0" borderId="14" xfId="0" applyNumberFormat="1" applyFont="1" applyBorder="1" applyAlignment="1">
      <alignment horizontal="center" vertical="center" wrapText="1"/>
    </xf>
    <xf numFmtId="1" fontId="4" fillId="0" borderId="16" xfId="0" applyNumberFormat="1" applyFont="1" applyBorder="1" applyAlignment="1">
      <alignment horizontal="center" vertical="center" wrapText="1"/>
    </xf>
    <xf numFmtId="0" fontId="3" fillId="5" borderId="13" xfId="0" applyFont="1" applyFill="1" applyBorder="1" applyAlignment="1">
      <alignment vertical="center" wrapText="1"/>
    </xf>
    <xf numFmtId="1" fontId="3" fillId="5" borderId="14" xfId="0" applyNumberFormat="1" applyFont="1" applyFill="1" applyBorder="1" applyAlignment="1">
      <alignment horizontal="center" vertical="center" wrapText="1"/>
    </xf>
    <xf numFmtId="1" fontId="3" fillId="5" borderId="15" xfId="0" applyNumberFormat="1" applyFont="1" applyFill="1" applyBorder="1" applyAlignment="1">
      <alignment horizontal="center" vertical="center" wrapText="1"/>
    </xf>
    <xf numFmtId="1" fontId="4" fillId="6" borderId="14" xfId="0" applyNumberFormat="1" applyFont="1" applyFill="1" applyBorder="1" applyAlignment="1">
      <alignment horizontal="center" vertical="center" wrapText="1"/>
    </xf>
    <xf numFmtId="1" fontId="4" fillId="7" borderId="16" xfId="0" applyNumberFormat="1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left" vertical="center" wrapText="1"/>
    </xf>
    <xf numFmtId="0" fontId="3" fillId="0" borderId="17" xfId="0" applyFont="1" applyBorder="1" applyAlignment="1">
      <alignment vertical="center" wrapText="1"/>
    </xf>
    <xf numFmtId="1" fontId="3" fillId="0" borderId="18" xfId="0" applyNumberFormat="1" applyFont="1" applyBorder="1" applyAlignment="1">
      <alignment horizontal="center" vertical="center" wrapText="1"/>
    </xf>
    <xf numFmtId="1" fontId="3" fillId="0" borderId="19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center" wrapText="1"/>
    </xf>
    <xf numFmtId="1" fontId="4" fillId="0" borderId="18" xfId="0" applyNumberFormat="1" applyFont="1" applyBorder="1" applyAlignment="1">
      <alignment horizontal="center" vertical="center" wrapText="1"/>
    </xf>
    <xf numFmtId="1" fontId="4" fillId="0" borderId="20" xfId="0" applyNumberFormat="1" applyFont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vertical="center" wrapText="1"/>
    </xf>
    <xf numFmtId="0" fontId="6" fillId="8" borderId="13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vertical="center" wrapText="1"/>
    </xf>
    <xf numFmtId="0" fontId="6" fillId="8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F41" sqref="F41"/>
    </sheetView>
  </sheetViews>
  <sheetFormatPr defaultRowHeight="15" x14ac:dyDescent="0.25"/>
  <cols>
    <col min="1" max="1" width="18.28515625" customWidth="1"/>
    <col min="2" max="2" width="27.5703125" customWidth="1"/>
    <col min="3" max="3" width="14.5703125" customWidth="1"/>
    <col min="4" max="4" width="13" customWidth="1"/>
    <col min="5" max="5" width="31" customWidth="1"/>
    <col min="6" max="6" width="12.85546875" customWidth="1"/>
    <col min="7" max="7" width="9.140625" customWidth="1"/>
    <col min="8" max="8" width="19.42578125" customWidth="1"/>
    <col min="9" max="9" width="18.5703125" customWidth="1"/>
    <col min="10" max="10" width="12.28515625" customWidth="1"/>
    <col min="11" max="11" width="10.5703125" customWidth="1"/>
    <col min="12" max="12" width="12.85546875" customWidth="1"/>
  </cols>
  <sheetData>
    <row r="1" spans="1:12" ht="19.5" thickBo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.75" thickBot="1" x14ac:dyDescent="0.3">
      <c r="A2" s="2" t="s">
        <v>1</v>
      </c>
      <c r="B2" s="2" t="s">
        <v>2</v>
      </c>
      <c r="C2" s="3" t="s">
        <v>3</v>
      </c>
      <c r="D2" s="4" t="s">
        <v>4</v>
      </c>
      <c r="E2" s="2" t="s">
        <v>5</v>
      </c>
      <c r="F2" s="3" t="s">
        <v>6</v>
      </c>
      <c r="G2" s="4" t="s">
        <v>7</v>
      </c>
      <c r="H2" s="2" t="s">
        <v>8</v>
      </c>
      <c r="I2" s="4" t="s">
        <v>9</v>
      </c>
      <c r="J2" s="5" t="s">
        <v>10</v>
      </c>
      <c r="K2" s="5" t="s">
        <v>11</v>
      </c>
      <c r="L2" s="6" t="s">
        <v>12</v>
      </c>
    </row>
    <row r="3" spans="1:12" x14ac:dyDescent="0.25">
      <c r="A3" s="7" t="s">
        <v>13</v>
      </c>
      <c r="B3" s="7" t="s">
        <v>14</v>
      </c>
      <c r="C3" s="8">
        <v>0</v>
      </c>
      <c r="D3" s="9">
        <v>144</v>
      </c>
      <c r="E3" s="7" t="s">
        <v>15</v>
      </c>
      <c r="F3" s="8">
        <v>24</v>
      </c>
      <c r="G3" s="9">
        <v>0</v>
      </c>
      <c r="H3" s="7" t="s">
        <v>14</v>
      </c>
      <c r="I3" s="9">
        <v>0</v>
      </c>
      <c r="J3" s="10">
        <f>C3+F3+I3</f>
        <v>24</v>
      </c>
      <c r="K3" s="10">
        <f>D3+G3</f>
        <v>144</v>
      </c>
      <c r="L3" s="11">
        <f t="shared" ref="L3:L27" si="0">J3+K3</f>
        <v>168</v>
      </c>
    </row>
    <row r="4" spans="1:12" ht="24" x14ac:dyDescent="0.25">
      <c r="A4" s="12" t="s">
        <v>16</v>
      </c>
      <c r="B4" s="12" t="s">
        <v>17</v>
      </c>
      <c r="C4" s="13">
        <v>144</v>
      </c>
      <c r="D4" s="14">
        <v>24</v>
      </c>
      <c r="E4" s="15" t="s">
        <v>14</v>
      </c>
      <c r="F4" s="13">
        <v>0</v>
      </c>
      <c r="G4" s="14">
        <v>0</v>
      </c>
      <c r="H4" s="12" t="s">
        <v>14</v>
      </c>
      <c r="I4" s="14">
        <v>0</v>
      </c>
      <c r="J4" s="16">
        <f t="shared" ref="J4:J27" si="1">C4+F4+I4</f>
        <v>144</v>
      </c>
      <c r="K4" s="16">
        <f t="shared" ref="K4:K27" si="2">D4+G4</f>
        <v>24</v>
      </c>
      <c r="L4" s="17">
        <f t="shared" si="0"/>
        <v>168</v>
      </c>
    </row>
    <row r="5" spans="1:12" x14ac:dyDescent="0.25">
      <c r="A5" s="18" t="s">
        <v>18</v>
      </c>
      <c r="B5" s="18" t="s">
        <v>19</v>
      </c>
      <c r="C5" s="19">
        <v>168</v>
      </c>
      <c r="D5" s="20">
        <v>0</v>
      </c>
      <c r="E5" s="21" t="s">
        <v>14</v>
      </c>
      <c r="F5" s="19">
        <v>0</v>
      </c>
      <c r="G5" s="20">
        <v>0</v>
      </c>
      <c r="H5" s="18" t="s">
        <v>14</v>
      </c>
      <c r="I5" s="20">
        <v>0</v>
      </c>
      <c r="J5" s="22">
        <f t="shared" si="1"/>
        <v>168</v>
      </c>
      <c r="K5" s="22">
        <f t="shared" si="2"/>
        <v>0</v>
      </c>
      <c r="L5" s="23">
        <f t="shared" si="0"/>
        <v>168</v>
      </c>
    </row>
    <row r="6" spans="1:12" x14ac:dyDescent="0.25">
      <c r="A6" s="24" t="s">
        <v>20</v>
      </c>
      <c r="B6" s="24" t="s">
        <v>15</v>
      </c>
      <c r="C6" s="25">
        <v>40</v>
      </c>
      <c r="D6" s="26">
        <v>16</v>
      </c>
      <c r="E6" s="24" t="s">
        <v>15</v>
      </c>
      <c r="F6" s="25">
        <v>112</v>
      </c>
      <c r="G6" s="26">
        <v>0</v>
      </c>
      <c r="H6" s="24" t="s">
        <v>14</v>
      </c>
      <c r="I6" s="26">
        <v>0</v>
      </c>
      <c r="J6" s="27">
        <f t="shared" si="1"/>
        <v>152</v>
      </c>
      <c r="K6" s="27">
        <f t="shared" si="2"/>
        <v>16</v>
      </c>
      <c r="L6" s="28">
        <f t="shared" si="0"/>
        <v>168</v>
      </c>
    </row>
    <row r="7" spans="1:12" x14ac:dyDescent="0.25">
      <c r="A7" s="18" t="s">
        <v>21</v>
      </c>
      <c r="B7" s="18" t="s">
        <v>22</v>
      </c>
      <c r="C7" s="19">
        <v>18</v>
      </c>
      <c r="D7" s="20">
        <v>0</v>
      </c>
      <c r="E7" s="21" t="s">
        <v>23</v>
      </c>
      <c r="F7" s="19">
        <v>126</v>
      </c>
      <c r="G7" s="20">
        <v>0</v>
      </c>
      <c r="H7" s="18" t="s">
        <v>24</v>
      </c>
      <c r="I7" s="20">
        <v>24</v>
      </c>
      <c r="J7" s="22">
        <f t="shared" si="1"/>
        <v>168</v>
      </c>
      <c r="K7" s="22">
        <f t="shared" si="2"/>
        <v>0</v>
      </c>
      <c r="L7" s="23">
        <f t="shared" si="0"/>
        <v>168</v>
      </c>
    </row>
    <row r="8" spans="1:12" x14ac:dyDescent="0.25">
      <c r="A8" s="24" t="s">
        <v>25</v>
      </c>
      <c r="B8" s="24" t="s">
        <v>14</v>
      </c>
      <c r="C8" s="25">
        <v>0</v>
      </c>
      <c r="D8" s="26">
        <v>0</v>
      </c>
      <c r="E8" s="29" t="s">
        <v>26</v>
      </c>
      <c r="F8" s="25">
        <v>168</v>
      </c>
      <c r="G8" s="26">
        <v>0</v>
      </c>
      <c r="H8" s="24" t="s">
        <v>14</v>
      </c>
      <c r="I8" s="26">
        <v>0</v>
      </c>
      <c r="J8" s="27">
        <f t="shared" si="1"/>
        <v>168</v>
      </c>
      <c r="K8" s="27">
        <f t="shared" si="2"/>
        <v>0</v>
      </c>
      <c r="L8" s="28">
        <f t="shared" si="0"/>
        <v>168</v>
      </c>
    </row>
    <row r="9" spans="1:12" x14ac:dyDescent="0.25">
      <c r="A9" s="18" t="s">
        <v>27</v>
      </c>
      <c r="B9" s="18" t="s">
        <v>28</v>
      </c>
      <c r="C9" s="19">
        <v>144</v>
      </c>
      <c r="D9" s="20">
        <v>24</v>
      </c>
      <c r="E9" s="21" t="s">
        <v>14</v>
      </c>
      <c r="F9" s="19">
        <v>0</v>
      </c>
      <c r="G9" s="20">
        <v>0</v>
      </c>
      <c r="H9" s="18" t="s">
        <v>14</v>
      </c>
      <c r="I9" s="20">
        <v>0</v>
      </c>
      <c r="J9" s="22">
        <f t="shared" si="1"/>
        <v>144</v>
      </c>
      <c r="K9" s="22">
        <f t="shared" si="2"/>
        <v>24</v>
      </c>
      <c r="L9" s="23">
        <f t="shared" si="0"/>
        <v>168</v>
      </c>
    </row>
    <row r="10" spans="1:12" x14ac:dyDescent="0.25">
      <c r="A10" s="24" t="s">
        <v>29</v>
      </c>
      <c r="B10" s="24" t="s">
        <v>30</v>
      </c>
      <c r="C10" s="25">
        <v>76</v>
      </c>
      <c r="D10" s="26">
        <v>40</v>
      </c>
      <c r="E10" s="29" t="s">
        <v>14</v>
      </c>
      <c r="F10" s="25">
        <v>0</v>
      </c>
      <c r="G10" s="26">
        <v>0</v>
      </c>
      <c r="H10" s="24" t="s">
        <v>31</v>
      </c>
      <c r="I10" s="26">
        <v>52</v>
      </c>
      <c r="J10" s="27">
        <f t="shared" si="1"/>
        <v>128</v>
      </c>
      <c r="K10" s="27">
        <f t="shared" si="2"/>
        <v>40</v>
      </c>
      <c r="L10" s="28">
        <f t="shared" si="0"/>
        <v>168</v>
      </c>
    </row>
    <row r="11" spans="1:12" ht="24" x14ac:dyDescent="0.25">
      <c r="A11" s="18" t="s">
        <v>32</v>
      </c>
      <c r="B11" s="18" t="s">
        <v>17</v>
      </c>
      <c r="C11" s="19">
        <v>144</v>
      </c>
      <c r="D11" s="20">
        <v>24</v>
      </c>
      <c r="E11" s="21" t="s">
        <v>14</v>
      </c>
      <c r="F11" s="19">
        <v>0</v>
      </c>
      <c r="G11" s="20">
        <v>0</v>
      </c>
      <c r="H11" s="18" t="s">
        <v>14</v>
      </c>
      <c r="I11" s="20">
        <v>0</v>
      </c>
      <c r="J11" s="22">
        <f t="shared" si="1"/>
        <v>144</v>
      </c>
      <c r="K11" s="22">
        <f t="shared" si="2"/>
        <v>24</v>
      </c>
      <c r="L11" s="23">
        <f t="shared" si="0"/>
        <v>168</v>
      </c>
    </row>
    <row r="12" spans="1:12" x14ac:dyDescent="0.25">
      <c r="A12" s="24" t="s">
        <v>33</v>
      </c>
      <c r="B12" s="24" t="s">
        <v>14</v>
      </c>
      <c r="C12" s="25">
        <v>22</v>
      </c>
      <c r="D12" s="26">
        <v>0</v>
      </c>
      <c r="E12" s="29" t="s">
        <v>34</v>
      </c>
      <c r="F12" s="25">
        <v>122</v>
      </c>
      <c r="G12" s="26">
        <v>24</v>
      </c>
      <c r="H12" s="24" t="s">
        <v>14</v>
      </c>
      <c r="I12" s="26">
        <v>0</v>
      </c>
      <c r="J12" s="27">
        <f t="shared" si="1"/>
        <v>144</v>
      </c>
      <c r="K12" s="27">
        <f t="shared" si="2"/>
        <v>24</v>
      </c>
      <c r="L12" s="28">
        <f t="shared" si="0"/>
        <v>168</v>
      </c>
    </row>
    <row r="13" spans="1:12" x14ac:dyDescent="0.25">
      <c r="A13" s="18" t="s">
        <v>35</v>
      </c>
      <c r="B13" s="18" t="s">
        <v>14</v>
      </c>
      <c r="C13" s="19">
        <v>0</v>
      </c>
      <c r="D13" s="20">
        <v>0</v>
      </c>
      <c r="E13" s="21" t="s">
        <v>36</v>
      </c>
      <c r="F13" s="19">
        <v>128</v>
      </c>
      <c r="G13" s="20">
        <v>40</v>
      </c>
      <c r="H13" s="18" t="s">
        <v>14</v>
      </c>
      <c r="I13" s="20">
        <v>0</v>
      </c>
      <c r="J13" s="22">
        <f t="shared" si="1"/>
        <v>128</v>
      </c>
      <c r="K13" s="22">
        <f t="shared" si="2"/>
        <v>40</v>
      </c>
      <c r="L13" s="23">
        <f t="shared" si="0"/>
        <v>168</v>
      </c>
    </row>
    <row r="14" spans="1:12" x14ac:dyDescent="0.25">
      <c r="A14" s="24" t="s">
        <v>37</v>
      </c>
      <c r="B14" s="24" t="s">
        <v>14</v>
      </c>
      <c r="C14" s="25">
        <v>0</v>
      </c>
      <c r="D14" s="26">
        <v>0</v>
      </c>
      <c r="E14" s="29" t="s">
        <v>38</v>
      </c>
      <c r="F14" s="25">
        <v>152</v>
      </c>
      <c r="G14" s="26">
        <v>16</v>
      </c>
      <c r="H14" s="24" t="s">
        <v>14</v>
      </c>
      <c r="I14" s="26">
        <v>0</v>
      </c>
      <c r="J14" s="27">
        <f t="shared" si="1"/>
        <v>152</v>
      </c>
      <c r="K14" s="27">
        <f t="shared" si="2"/>
        <v>16</v>
      </c>
      <c r="L14" s="28">
        <f t="shared" si="0"/>
        <v>168</v>
      </c>
    </row>
    <row r="15" spans="1:12" x14ac:dyDescent="0.25">
      <c r="A15" s="18" t="s">
        <v>39</v>
      </c>
      <c r="B15" s="18" t="s">
        <v>22</v>
      </c>
      <c r="C15" s="19">
        <v>0</v>
      </c>
      <c r="D15" s="20">
        <v>0</v>
      </c>
      <c r="E15" s="21" t="s">
        <v>40</v>
      </c>
      <c r="F15" s="19">
        <v>126</v>
      </c>
      <c r="G15" s="20">
        <v>0</v>
      </c>
      <c r="H15" s="18" t="s">
        <v>41</v>
      </c>
      <c r="I15" s="20">
        <v>42</v>
      </c>
      <c r="J15" s="22">
        <f t="shared" si="1"/>
        <v>168</v>
      </c>
      <c r="K15" s="22">
        <f t="shared" si="2"/>
        <v>0</v>
      </c>
      <c r="L15" s="23">
        <f t="shared" si="0"/>
        <v>168</v>
      </c>
    </row>
    <row r="16" spans="1:12" x14ac:dyDescent="0.25">
      <c r="A16" s="24" t="s">
        <v>42</v>
      </c>
      <c r="B16" s="24" t="s">
        <v>14</v>
      </c>
      <c r="C16" s="25">
        <v>16</v>
      </c>
      <c r="D16" s="26">
        <v>0</v>
      </c>
      <c r="E16" s="29" t="s">
        <v>43</v>
      </c>
      <c r="F16" s="25">
        <v>88</v>
      </c>
      <c r="G16" s="26">
        <v>64</v>
      </c>
      <c r="H16" s="24" t="s">
        <v>14</v>
      </c>
      <c r="I16" s="26">
        <v>0</v>
      </c>
      <c r="J16" s="27">
        <f t="shared" si="1"/>
        <v>104</v>
      </c>
      <c r="K16" s="27">
        <f t="shared" si="2"/>
        <v>64</v>
      </c>
      <c r="L16" s="28">
        <f t="shared" si="0"/>
        <v>168</v>
      </c>
    </row>
    <row r="17" spans="1:12" ht="24" x14ac:dyDescent="0.25">
      <c r="A17" s="18" t="s">
        <v>44</v>
      </c>
      <c r="B17" s="18" t="s">
        <v>45</v>
      </c>
      <c r="C17" s="19">
        <v>86</v>
      </c>
      <c r="D17" s="20">
        <v>16</v>
      </c>
      <c r="E17" s="21" t="s">
        <v>46</v>
      </c>
      <c r="F17" s="19">
        <v>50</v>
      </c>
      <c r="G17" s="20">
        <v>16</v>
      </c>
      <c r="H17" s="18" t="s">
        <v>14</v>
      </c>
      <c r="I17" s="20">
        <v>0</v>
      </c>
      <c r="J17" s="22">
        <f t="shared" si="1"/>
        <v>136</v>
      </c>
      <c r="K17" s="22">
        <f t="shared" si="2"/>
        <v>32</v>
      </c>
      <c r="L17" s="23">
        <f t="shared" si="0"/>
        <v>168</v>
      </c>
    </row>
    <row r="18" spans="1:12" x14ac:dyDescent="0.25">
      <c r="A18" s="24" t="s">
        <v>47</v>
      </c>
      <c r="B18" s="24" t="s">
        <v>48</v>
      </c>
      <c r="C18" s="25">
        <v>128</v>
      </c>
      <c r="D18" s="26">
        <v>40</v>
      </c>
      <c r="E18" s="29" t="s">
        <v>14</v>
      </c>
      <c r="F18" s="25">
        <v>0</v>
      </c>
      <c r="G18" s="26">
        <v>0</v>
      </c>
      <c r="H18" s="24" t="s">
        <v>14</v>
      </c>
      <c r="I18" s="26">
        <v>0</v>
      </c>
      <c r="J18" s="27">
        <f t="shared" si="1"/>
        <v>128</v>
      </c>
      <c r="K18" s="27">
        <f t="shared" si="2"/>
        <v>40</v>
      </c>
      <c r="L18" s="28">
        <f t="shared" si="0"/>
        <v>168</v>
      </c>
    </row>
    <row r="19" spans="1:12" x14ac:dyDescent="0.25">
      <c r="A19" s="18" t="s">
        <v>49</v>
      </c>
      <c r="B19" s="18" t="s">
        <v>50</v>
      </c>
      <c r="C19" s="19">
        <v>84</v>
      </c>
      <c r="D19" s="20">
        <v>0</v>
      </c>
      <c r="E19" s="21" t="s">
        <v>51</v>
      </c>
      <c r="F19" s="19">
        <v>84</v>
      </c>
      <c r="G19" s="20">
        <v>0</v>
      </c>
      <c r="H19" s="18" t="s">
        <v>14</v>
      </c>
      <c r="I19" s="20">
        <v>0</v>
      </c>
      <c r="J19" s="22">
        <f t="shared" si="1"/>
        <v>168</v>
      </c>
      <c r="K19" s="22">
        <f t="shared" si="2"/>
        <v>0</v>
      </c>
      <c r="L19" s="23">
        <f t="shared" si="0"/>
        <v>168</v>
      </c>
    </row>
    <row r="20" spans="1:12" x14ac:dyDescent="0.25">
      <c r="A20" s="24" t="s">
        <v>52</v>
      </c>
      <c r="B20" s="24" t="s">
        <v>14</v>
      </c>
      <c r="C20" s="25">
        <v>0</v>
      </c>
      <c r="D20" s="26">
        <v>0</v>
      </c>
      <c r="E20" s="29" t="s">
        <v>53</v>
      </c>
      <c r="F20" s="25">
        <v>130</v>
      </c>
      <c r="G20" s="26">
        <v>0</v>
      </c>
      <c r="H20" s="24" t="s">
        <v>14</v>
      </c>
      <c r="I20" s="26">
        <v>0</v>
      </c>
      <c r="J20" s="27">
        <f t="shared" si="1"/>
        <v>130</v>
      </c>
      <c r="K20" s="27">
        <f t="shared" si="2"/>
        <v>0</v>
      </c>
      <c r="L20" s="28">
        <f t="shared" si="0"/>
        <v>130</v>
      </c>
    </row>
    <row r="21" spans="1:12" x14ac:dyDescent="0.25">
      <c r="A21" s="18" t="s">
        <v>54</v>
      </c>
      <c r="B21" s="18" t="s">
        <v>14</v>
      </c>
      <c r="C21" s="19">
        <v>0</v>
      </c>
      <c r="D21" s="20">
        <v>0</v>
      </c>
      <c r="E21" s="21" t="s">
        <v>55</v>
      </c>
      <c r="F21" s="19">
        <v>152</v>
      </c>
      <c r="G21" s="20">
        <v>16</v>
      </c>
      <c r="H21" s="18" t="s">
        <v>14</v>
      </c>
      <c r="I21" s="20">
        <v>0</v>
      </c>
      <c r="J21" s="22">
        <f t="shared" si="1"/>
        <v>152</v>
      </c>
      <c r="K21" s="22">
        <f t="shared" si="2"/>
        <v>16</v>
      </c>
      <c r="L21" s="23">
        <f t="shared" si="0"/>
        <v>168</v>
      </c>
    </row>
    <row r="22" spans="1:12" ht="24" x14ac:dyDescent="0.25">
      <c r="A22" s="24" t="s">
        <v>56</v>
      </c>
      <c r="B22" s="24" t="s">
        <v>57</v>
      </c>
      <c r="C22" s="25">
        <v>126</v>
      </c>
      <c r="D22" s="26">
        <v>0</v>
      </c>
      <c r="E22" s="29" t="s">
        <v>14</v>
      </c>
      <c r="F22" s="25">
        <v>0</v>
      </c>
      <c r="G22" s="26">
        <v>0</v>
      </c>
      <c r="H22" s="24" t="s">
        <v>14</v>
      </c>
      <c r="I22" s="26">
        <v>0</v>
      </c>
      <c r="J22" s="27">
        <f t="shared" si="1"/>
        <v>126</v>
      </c>
      <c r="K22" s="27">
        <f t="shared" si="2"/>
        <v>0</v>
      </c>
      <c r="L22" s="28">
        <f t="shared" si="0"/>
        <v>126</v>
      </c>
    </row>
    <row r="23" spans="1:12" x14ac:dyDescent="0.25">
      <c r="A23" s="18" t="s">
        <v>58</v>
      </c>
      <c r="B23" s="18" t="s">
        <v>14</v>
      </c>
      <c r="C23" s="19">
        <v>0</v>
      </c>
      <c r="D23" s="20">
        <v>0</v>
      </c>
      <c r="E23" s="21" t="s">
        <v>59</v>
      </c>
      <c r="F23" s="19">
        <v>152</v>
      </c>
      <c r="G23" s="20">
        <v>16</v>
      </c>
      <c r="H23" s="18" t="s">
        <v>14</v>
      </c>
      <c r="I23" s="20">
        <v>0</v>
      </c>
      <c r="J23" s="22">
        <f t="shared" si="1"/>
        <v>152</v>
      </c>
      <c r="K23" s="22">
        <f t="shared" si="2"/>
        <v>16</v>
      </c>
      <c r="L23" s="23">
        <f t="shared" si="0"/>
        <v>168</v>
      </c>
    </row>
    <row r="24" spans="1:12" x14ac:dyDescent="0.25">
      <c r="A24" s="24" t="s">
        <v>60</v>
      </c>
      <c r="B24" s="24" t="s">
        <v>61</v>
      </c>
      <c r="C24" s="25">
        <v>28</v>
      </c>
      <c r="D24" s="26">
        <v>14</v>
      </c>
      <c r="E24" s="29" t="s">
        <v>62</v>
      </c>
      <c r="F24" s="25">
        <v>56</v>
      </c>
      <c r="G24" s="26">
        <v>28</v>
      </c>
      <c r="H24" s="24" t="s">
        <v>14</v>
      </c>
      <c r="I24" s="26">
        <v>0</v>
      </c>
      <c r="J24" s="27">
        <f t="shared" si="1"/>
        <v>84</v>
      </c>
      <c r="K24" s="27">
        <f t="shared" si="2"/>
        <v>42</v>
      </c>
      <c r="L24" s="28">
        <f t="shared" si="0"/>
        <v>126</v>
      </c>
    </row>
    <row r="25" spans="1:12" ht="24" x14ac:dyDescent="0.25">
      <c r="A25" s="18" t="s">
        <v>63</v>
      </c>
      <c r="B25" s="18" t="s">
        <v>64</v>
      </c>
      <c r="C25" s="19">
        <v>72</v>
      </c>
      <c r="D25" s="20">
        <v>12</v>
      </c>
      <c r="E25" s="21" t="s">
        <v>65</v>
      </c>
      <c r="F25" s="19">
        <v>72</v>
      </c>
      <c r="G25" s="20">
        <v>12</v>
      </c>
      <c r="H25" s="18" t="s">
        <v>14</v>
      </c>
      <c r="I25" s="20">
        <v>0</v>
      </c>
      <c r="J25" s="22">
        <f t="shared" si="1"/>
        <v>144</v>
      </c>
      <c r="K25" s="22">
        <f t="shared" si="2"/>
        <v>24</v>
      </c>
      <c r="L25" s="23">
        <f t="shared" si="0"/>
        <v>168</v>
      </c>
    </row>
    <row r="26" spans="1:12" x14ac:dyDescent="0.25">
      <c r="A26" s="24" t="s">
        <v>66</v>
      </c>
      <c r="B26" s="24" t="s">
        <v>14</v>
      </c>
      <c r="C26" s="25">
        <v>126</v>
      </c>
      <c r="D26" s="26">
        <v>0</v>
      </c>
      <c r="E26" s="29" t="s">
        <v>67</v>
      </c>
      <c r="F26" s="25">
        <v>0</v>
      </c>
      <c r="G26" s="26">
        <v>0</v>
      </c>
      <c r="H26" s="24" t="s">
        <v>14</v>
      </c>
      <c r="I26" s="26">
        <v>0</v>
      </c>
      <c r="J26" s="27">
        <f t="shared" si="1"/>
        <v>126</v>
      </c>
      <c r="K26" s="27">
        <f t="shared" si="2"/>
        <v>0</v>
      </c>
      <c r="L26" s="28">
        <f t="shared" si="0"/>
        <v>126</v>
      </c>
    </row>
    <row r="27" spans="1:12" ht="15.75" thickBot="1" x14ac:dyDescent="0.3">
      <c r="A27" s="30" t="s">
        <v>68</v>
      </c>
      <c r="B27" s="30" t="s">
        <v>50</v>
      </c>
      <c r="C27" s="31">
        <v>0</v>
      </c>
      <c r="D27" s="32">
        <v>0</v>
      </c>
      <c r="E27" s="33" t="s">
        <v>69</v>
      </c>
      <c r="F27" s="31">
        <v>84</v>
      </c>
      <c r="G27" s="32">
        <v>0</v>
      </c>
      <c r="H27" s="30" t="s">
        <v>24</v>
      </c>
      <c r="I27" s="32">
        <v>84</v>
      </c>
      <c r="J27" s="34">
        <f t="shared" si="1"/>
        <v>168</v>
      </c>
      <c r="K27" s="34">
        <f t="shared" si="2"/>
        <v>0</v>
      </c>
      <c r="L27" s="35">
        <f t="shared" si="0"/>
        <v>168</v>
      </c>
    </row>
    <row r="30" spans="1:12" ht="18.75" x14ac:dyDescent="0.3"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3FF0-0F93-4AC0-8347-0C44E662CAB4}">
  <dimension ref="A1:C27"/>
  <sheetViews>
    <sheetView workbookViewId="0">
      <selection sqref="A1:C27"/>
    </sheetView>
  </sheetViews>
  <sheetFormatPr defaultRowHeight="15" x14ac:dyDescent="0.25"/>
  <sheetData>
    <row r="1" spans="1:3" ht="19.5" thickBot="1" x14ac:dyDescent="0.35">
      <c r="A1" s="1" t="s">
        <v>70</v>
      </c>
      <c r="B1" s="1"/>
      <c r="C1" s="1"/>
    </row>
    <row r="2" spans="1:3" ht="24.75" thickBot="1" x14ac:dyDescent="0.3">
      <c r="A2" s="2" t="s">
        <v>1</v>
      </c>
      <c r="B2" s="2" t="s">
        <v>71</v>
      </c>
      <c r="C2" s="2" t="s">
        <v>77</v>
      </c>
    </row>
    <row r="3" spans="1:3" ht="24" x14ac:dyDescent="0.25">
      <c r="A3" s="41" t="s">
        <v>13</v>
      </c>
      <c r="B3" s="42" t="s">
        <v>14</v>
      </c>
      <c r="C3" s="42" t="s">
        <v>14</v>
      </c>
    </row>
    <row r="4" spans="1:3" ht="24" x14ac:dyDescent="0.25">
      <c r="A4" s="12" t="s">
        <v>16</v>
      </c>
      <c r="B4" s="36" t="s">
        <v>14</v>
      </c>
      <c r="C4" s="36" t="s">
        <v>72</v>
      </c>
    </row>
    <row r="5" spans="1:3" ht="24" x14ac:dyDescent="0.25">
      <c r="A5" s="18" t="s">
        <v>18</v>
      </c>
      <c r="B5" s="37" t="s">
        <v>14</v>
      </c>
      <c r="C5" s="37" t="s">
        <v>72</v>
      </c>
    </row>
    <row r="6" spans="1:3" ht="24" x14ac:dyDescent="0.25">
      <c r="A6" s="24" t="s">
        <v>20</v>
      </c>
      <c r="B6" s="38" t="s">
        <v>72</v>
      </c>
      <c r="C6" s="38" t="s">
        <v>72</v>
      </c>
    </row>
    <row r="7" spans="1:3" ht="24" x14ac:dyDescent="0.25">
      <c r="A7" s="18" t="s">
        <v>21</v>
      </c>
      <c r="B7" s="37" t="s">
        <v>73</v>
      </c>
      <c r="C7" s="37" t="s">
        <v>72</v>
      </c>
    </row>
    <row r="8" spans="1:3" ht="36" x14ac:dyDescent="0.25">
      <c r="A8" s="24" t="s">
        <v>25</v>
      </c>
      <c r="B8" s="38" t="s">
        <v>72</v>
      </c>
      <c r="C8" s="38" t="s">
        <v>72</v>
      </c>
    </row>
    <row r="9" spans="1:3" ht="24" x14ac:dyDescent="0.25">
      <c r="A9" s="18" t="s">
        <v>27</v>
      </c>
      <c r="B9" s="37" t="s">
        <v>14</v>
      </c>
      <c r="C9" s="37" t="s">
        <v>72</v>
      </c>
    </row>
    <row r="10" spans="1:3" ht="24" x14ac:dyDescent="0.25">
      <c r="A10" s="24" t="s">
        <v>29</v>
      </c>
      <c r="B10" s="38" t="s">
        <v>14</v>
      </c>
      <c r="C10" s="38" t="s">
        <v>72</v>
      </c>
    </row>
    <row r="11" spans="1:3" ht="24" x14ac:dyDescent="0.25">
      <c r="A11" s="18" t="s">
        <v>32</v>
      </c>
      <c r="B11" s="37" t="s">
        <v>14</v>
      </c>
      <c r="C11" s="37" t="s">
        <v>72</v>
      </c>
    </row>
    <row r="12" spans="1:3" ht="36" x14ac:dyDescent="0.25">
      <c r="A12" s="24" t="s">
        <v>33</v>
      </c>
      <c r="B12" s="38" t="s">
        <v>72</v>
      </c>
      <c r="C12" s="38" t="s">
        <v>72</v>
      </c>
    </row>
    <row r="13" spans="1:3" ht="24" x14ac:dyDescent="0.25">
      <c r="A13" s="18" t="s">
        <v>35</v>
      </c>
      <c r="B13" s="37" t="s">
        <v>72</v>
      </c>
      <c r="C13" s="37" t="s">
        <v>72</v>
      </c>
    </row>
    <row r="14" spans="1:3" ht="24" x14ac:dyDescent="0.25">
      <c r="A14" s="24" t="s">
        <v>37</v>
      </c>
      <c r="B14" s="38" t="s">
        <v>72</v>
      </c>
      <c r="C14" s="38" t="s">
        <v>72</v>
      </c>
    </row>
    <row r="15" spans="1:3" ht="24" x14ac:dyDescent="0.25">
      <c r="A15" s="18" t="s">
        <v>39</v>
      </c>
      <c r="B15" s="37" t="s">
        <v>73</v>
      </c>
      <c r="C15" s="37" t="s">
        <v>72</v>
      </c>
    </row>
    <row r="16" spans="1:3" ht="24" x14ac:dyDescent="0.25">
      <c r="A16" s="24" t="s">
        <v>42</v>
      </c>
      <c r="B16" s="38" t="s">
        <v>72</v>
      </c>
      <c r="C16" s="38" t="s">
        <v>72</v>
      </c>
    </row>
    <row r="17" spans="1:3" ht="24" x14ac:dyDescent="0.25">
      <c r="A17" s="18" t="s">
        <v>44</v>
      </c>
      <c r="B17" s="37" t="s">
        <v>74</v>
      </c>
      <c r="C17" s="37" t="s">
        <v>72</v>
      </c>
    </row>
    <row r="18" spans="1:3" ht="24" x14ac:dyDescent="0.25">
      <c r="A18" s="24" t="s">
        <v>47</v>
      </c>
      <c r="B18" s="38" t="s">
        <v>14</v>
      </c>
      <c r="C18" s="38" t="s">
        <v>72</v>
      </c>
    </row>
    <row r="19" spans="1:3" ht="24" x14ac:dyDescent="0.25">
      <c r="A19" s="43" t="s">
        <v>49</v>
      </c>
      <c r="B19" s="44" t="s">
        <v>14</v>
      </c>
      <c r="C19" s="44" t="s">
        <v>14</v>
      </c>
    </row>
    <row r="20" spans="1:3" ht="36" x14ac:dyDescent="0.25">
      <c r="A20" s="39" t="s">
        <v>52</v>
      </c>
      <c r="B20" s="40" t="s">
        <v>75</v>
      </c>
      <c r="C20" s="40" t="s">
        <v>75</v>
      </c>
    </row>
    <row r="21" spans="1:3" ht="24" x14ac:dyDescent="0.25">
      <c r="A21" s="18" t="s">
        <v>54</v>
      </c>
      <c r="B21" s="37" t="s">
        <v>72</v>
      </c>
      <c r="C21" s="37" t="s">
        <v>72</v>
      </c>
    </row>
    <row r="22" spans="1:3" ht="24" x14ac:dyDescent="0.25">
      <c r="A22" s="24" t="s">
        <v>56</v>
      </c>
      <c r="B22" s="38" t="s">
        <v>14</v>
      </c>
      <c r="C22" s="38" t="s">
        <v>73</v>
      </c>
    </row>
    <row r="23" spans="1:3" ht="24" x14ac:dyDescent="0.25">
      <c r="A23" s="18" t="s">
        <v>58</v>
      </c>
      <c r="B23" s="37" t="s">
        <v>72</v>
      </c>
      <c r="C23" s="37" t="s">
        <v>72</v>
      </c>
    </row>
    <row r="24" spans="1:3" ht="24" x14ac:dyDescent="0.25">
      <c r="A24" s="24" t="s">
        <v>60</v>
      </c>
      <c r="B24" s="38" t="s">
        <v>74</v>
      </c>
      <c r="C24" s="38" t="s">
        <v>73</v>
      </c>
    </row>
    <row r="25" spans="1:3" ht="24" x14ac:dyDescent="0.25">
      <c r="A25" s="18" t="s">
        <v>63</v>
      </c>
      <c r="B25" s="37" t="s">
        <v>74</v>
      </c>
      <c r="C25" s="37" t="s">
        <v>72</v>
      </c>
    </row>
    <row r="26" spans="1:3" ht="24" x14ac:dyDescent="0.25">
      <c r="A26" s="39" t="s">
        <v>66</v>
      </c>
      <c r="B26" s="40" t="s">
        <v>76</v>
      </c>
      <c r="C26" s="40" t="s">
        <v>76</v>
      </c>
    </row>
    <row r="27" spans="1:3" ht="24.75" thickBot="1" x14ac:dyDescent="0.3">
      <c r="A27" s="45" t="s">
        <v>68</v>
      </c>
      <c r="B27" s="46" t="s">
        <v>14</v>
      </c>
      <c r="C27" s="4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b6ba9f-78b0-44eb-a639-36fdd14398e5">
      <Terms xmlns="http://schemas.microsoft.com/office/infopath/2007/PartnerControls"/>
    </lcf76f155ced4ddcb4097134ff3c332f>
    <TaxCatchAll xmlns="c5ad4158-2066-400a-a3a9-9918f6e72cc0" xsi:nil="true"/>
    <BT xmlns="7ab6ba9f-78b0-44eb-a639-36fdd14398e5" xsi:nil="true"/>
    <Compatibil_x003f_ xmlns="7ab6ba9f-78b0-44eb-a639-36fdd14398e5" xsi:nil="true"/>
    <_ApprovalAssignedTo xmlns="7ab6ba9f-78b0-44eb-a639-36fdd14398e5">
      <UserInfo>
        <DisplayName/>
        <AccountId xsi:nil="true"/>
        <AccountType/>
      </UserInfo>
    </_ApprovalAssignedTo>
    <_ApprovalRespondedBy xmlns="7ab6ba9f-78b0-44eb-a639-36fdd14398e5">
      <UserInfo>
        <DisplayName/>
        <AccountId xsi:nil="true"/>
        <AccountType/>
      </UserInfo>
    </_ApprovalRespondedBy>
    <_ApprovalStatus xmlns="7ab6ba9f-78b0-44eb-a639-36fdd14398e5">0</_ApprovalStatus>
    <_ApprovalSentBy xmlns="7ab6ba9f-78b0-44eb-a639-36fdd14398e5">
      <UserInfo>
        <DisplayName/>
        <AccountId xsi:nil="true"/>
        <AccountType/>
      </UserInfo>
    </_ApprovalSent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BFE8FCDE0D3E4794FED9E2DCE9D21E" ma:contentTypeVersion="21" ma:contentTypeDescription="Create a new document." ma:contentTypeScope="" ma:versionID="1a5935ec94cece5f3f644d55b5b10dcf">
  <xsd:schema xmlns:xsd="http://www.w3.org/2001/XMLSchema" xmlns:xs="http://www.w3.org/2001/XMLSchema" xmlns:p="http://schemas.microsoft.com/office/2006/metadata/properties" xmlns:ns2="7ab6ba9f-78b0-44eb-a639-36fdd14398e5" xmlns:ns3="c5ad4158-2066-400a-a3a9-9918f6e72cc0" targetNamespace="http://schemas.microsoft.com/office/2006/metadata/properties" ma:root="true" ma:fieldsID="1a0a9d82b9b30e4af2245d648ba53fc4" ns2:_="" ns3:_="">
    <xsd:import namespace="7ab6ba9f-78b0-44eb-a639-36fdd14398e5"/>
    <xsd:import namespace="c5ad4158-2066-400a-a3a9-9918f6e72c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BT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Compatibil_x003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6ba9f-78b0-44eb-a639-36fdd14398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beb6bc-7257-4da4-8a27-f047df4242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BT" ma:index="23" nillable="true" ma:displayName="BT " ma:description="Short List" ma:format="Dropdown" ma:internalName="BT">
      <xsd:simpleType>
        <xsd:restriction base="dms:Text">
          <xsd:maxLength value="255"/>
        </xsd:restriction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Compatibil_x003f_" ma:index="28" nillable="true" ma:displayName="Compatibil?" ma:format="Dropdown" ma:internalName="Compatibil_x003f_">
      <xsd:simpleType>
        <xsd:restriction base="dms:Choice">
          <xsd:enumeration value="Yes"/>
          <xsd:enumeration value="No"/>
          <xsd:enumeration value="Parțial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ad4158-2066-400a-a3a9-9918f6e72cc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74b1fb1-6f0f-468c-b786-ed7224813a6e}" ma:internalName="TaxCatchAll" ma:showField="CatchAllData" ma:web="c5ad4158-2066-400a-a3a9-9918f6e72c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2F7C66-F76B-4193-B595-522FEDB467F2}">
  <ds:schemaRefs>
    <ds:schemaRef ds:uri="http://schemas.microsoft.com/office/2006/metadata/properties"/>
    <ds:schemaRef ds:uri="http://schemas.microsoft.com/office/infopath/2007/PartnerControls"/>
    <ds:schemaRef ds:uri="7ab6ba9f-78b0-44eb-a639-36fdd14398e5"/>
    <ds:schemaRef ds:uri="c5ad4158-2066-400a-a3a9-9918f6e72cc0"/>
  </ds:schemaRefs>
</ds:datastoreItem>
</file>

<file path=customXml/itemProps2.xml><?xml version="1.0" encoding="utf-8"?>
<ds:datastoreItem xmlns:ds="http://schemas.openxmlformats.org/officeDocument/2006/customXml" ds:itemID="{6185B8FB-4A0B-4DAE-A7A3-29D26911BD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F675E2-5902-434C-B415-F593754AE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b6ba9f-78b0-44eb-a639-36fdd14398e5"/>
    <ds:schemaRef ds:uri="c5ad4158-2066-400a-a3a9-9918f6e72c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Ungureanu</dc:creator>
  <cp:lastModifiedBy>Roxana Ivanov</cp:lastModifiedBy>
  <dcterms:created xsi:type="dcterms:W3CDTF">2015-06-05T18:17:20Z</dcterms:created>
  <dcterms:modified xsi:type="dcterms:W3CDTF">2026-07-27T12:08:41Z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0x0101006CBFE8FCDE0D3E4794FED9E2DCE9D21E</vt:lpwstr>
  </property>
  <property fmtid="{D5CDD505-2E9C-101B-9397-08002B2CF9AE}" pid="3" name="MediaServiceImageTags">
    <vt:lpwstr/>
  </property>
</Properties>
</file>
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codeName="AcestRegistruDeLucru" defaultThemeVersion="166925"/>
  <mc:AlternateContent xmlns:mc="http://schemas.openxmlformats.org/markup-compatibility/2006">
    <mc:Choice Requires="x15">
      <x15ac:absPath xmlns:x15ac="http://schemas.microsoft.com/office/spreadsheetml/2010/11/ac" url="https://confederatiaconcordia.sharepoint.com/sites/ConcordiaInternal-Bugetsiplati/Shared Documents/Buget si plati/PONTAJE PROIECTE_ALL-2026/"/>
    </mc:Choice>
  </mc:AlternateContent>
  <xr:revisionPtr revIDLastSave="8463" documentId="13_ncr:1_{FCA1622F-E160-4293-9A75-BD8049943E9E}" xr6:coauthVersionLast="47" xr6:coauthVersionMax="47" xr10:uidLastSave="{AB041557-E207-4286-9DEF-96B601C76BA1}"/>
  <bookViews>
    <workbookView xWindow="-110" yWindow="-110" windowWidth="19420" windowHeight="10300" tabRatio="882" firstSheet="4" activeTab="4" xr2:uid="{4EF1396C-4D51-47A5-B58B-39E77F855445}"/>
  </bookViews>
  <sheets>
    <sheet name="IAN 2026" sheetId="54" r:id="rId1"/>
    <sheet name="FEBR 2026" sheetId="55" r:id="rId2"/>
    <sheet name="MAR 2026" sheetId="56" r:id="rId3"/>
    <sheet name="APR 2026" sheetId="57" r:id="rId4"/>
    <sheet name="MAI 2026" sheetId="58" r:id="rId5"/>
    <sheet name="Activitati" sheetId="37" r:id="rId6"/>
  </sheets>
  <definedNames>
    <definedName name="_xlnm.Print_Titles" localSheetId="3">'APR 2026'!$57:$57</definedName>
    <definedName name="_xlnm.Print_Titles" localSheetId="1">'FEBR 2026'!$57:$57</definedName>
    <definedName name="_xlnm.Print_Titles" localSheetId="0">'IAN 2026'!$57:$57</definedName>
    <definedName name="_xlnm.Print_Titles" localSheetId="4">'MAI 2026'!$57:$57</definedName>
    <definedName name="_xlnm.Print_Titles" localSheetId="2">'MAR 2026'!$57:$57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68" i="58" l="1"/>
  <c r="AL89" i="58"/>
  <c r="AP88" i="58"/>
  <c r="AO88" i="58"/>
  <c r="AP87" i="58"/>
  <c r="AO87" i="58"/>
  <c r="AP86" i="58"/>
  <c r="AO86" i="58"/>
  <c r="AP85" i="58"/>
  <c r="AO85" i="58"/>
  <c r="AP84" i="58"/>
  <c r="AO84" i="58"/>
  <c r="AP83" i="58"/>
  <c r="AO83" i="58"/>
  <c r="AP82" i="58"/>
  <c r="AO82" i="58"/>
  <c r="AP81" i="58"/>
  <c r="AO81" i="58"/>
  <c r="AP80" i="58"/>
  <c r="AO80" i="58"/>
  <c r="AP79" i="58"/>
  <c r="AO79" i="58"/>
  <c r="AP78" i="58"/>
  <c r="AO78" i="58"/>
  <c r="AP77" i="58"/>
  <c r="AO77" i="58"/>
  <c r="AP76" i="58"/>
  <c r="AO76" i="58"/>
  <c r="AP75" i="58"/>
  <c r="AO75" i="58"/>
  <c r="AP74" i="58"/>
  <c r="AO74" i="58"/>
  <c r="AP73" i="58"/>
  <c r="AO73" i="58"/>
  <c r="AP72" i="58"/>
  <c r="AO72" i="58"/>
  <c r="AP71" i="58"/>
  <c r="AO71" i="58"/>
  <c r="AP70" i="58"/>
  <c r="AO70" i="58"/>
  <c r="AP69" i="58"/>
  <c r="AO69" i="58"/>
  <c r="AP68" i="58"/>
  <c r="AO68" i="58"/>
  <c r="AP67" i="58"/>
  <c r="AO67" i="58"/>
  <c r="AP66" i="58"/>
  <c r="AO66" i="58"/>
  <c r="AP65" i="58"/>
  <c r="AO65" i="58"/>
  <c r="AP64" i="58"/>
  <c r="AO64" i="58"/>
  <c r="AP63" i="58"/>
  <c r="AO63" i="58"/>
  <c r="AP62" i="58"/>
  <c r="AO62" i="58"/>
  <c r="AP61" i="58"/>
  <c r="AO61" i="58"/>
  <c r="AP60" i="58"/>
  <c r="AO60" i="58"/>
  <c r="AP59" i="58"/>
  <c r="AO59" i="58"/>
  <c r="AP58" i="58"/>
  <c r="AO58" i="58"/>
  <c r="AM84" i="58" s="1"/>
  <c r="AD16" i="58"/>
  <c r="AD15" i="58" s="1"/>
  <c r="AD17" i="58" s="1"/>
  <c r="AC16" i="58"/>
  <c r="AC15" i="58" s="1"/>
  <c r="AC17" i="58" s="1"/>
  <c r="AB16" i="58"/>
  <c r="AB15" i="58" s="1"/>
  <c r="AB17" i="58" s="1"/>
  <c r="AA16" i="58"/>
  <c r="AA15" i="58" s="1"/>
  <c r="AA17" i="58" s="1"/>
  <c r="Z16" i="58"/>
  <c r="Z15" i="58" s="1"/>
  <c r="Z17" i="58" s="1"/>
  <c r="W16" i="58"/>
  <c r="W15" i="58" s="1"/>
  <c r="W17" i="58" s="1"/>
  <c r="V16" i="58"/>
  <c r="V15" i="58" s="1"/>
  <c r="V17" i="58" s="1"/>
  <c r="U16" i="58"/>
  <c r="U15" i="58" s="1"/>
  <c r="U17" i="58" s="1"/>
  <c r="T16" i="58"/>
  <c r="T15" i="58" s="1"/>
  <c r="T17" i="58" s="1"/>
  <c r="S16" i="58"/>
  <c r="S15" i="58" s="1"/>
  <c r="S17" i="58" s="1"/>
  <c r="P16" i="58"/>
  <c r="O16" i="58"/>
  <c r="N16" i="58"/>
  <c r="N15" i="58" s="1"/>
  <c r="N17" i="58" s="1"/>
  <c r="M16" i="58"/>
  <c r="M15" i="58" s="1"/>
  <c r="M17" i="58" s="1"/>
  <c r="L16" i="58"/>
  <c r="L15" i="58" s="1"/>
  <c r="L17" i="58" s="1"/>
  <c r="I16" i="58"/>
  <c r="I15" i="58" s="1"/>
  <c r="I17" i="58" s="1"/>
  <c r="H16" i="58"/>
  <c r="H15" i="58" s="1"/>
  <c r="H17" i="58" s="1"/>
  <c r="G16" i="58"/>
  <c r="G15" i="58" s="1"/>
  <c r="G17" i="58" s="1"/>
  <c r="F16" i="58"/>
  <c r="F15" i="58" s="1"/>
  <c r="F17" i="58" s="1"/>
  <c r="E16" i="58"/>
  <c r="AI16" i="58" s="1"/>
  <c r="AJ16" i="58" s="1"/>
  <c r="P15" i="58"/>
  <c r="P17" i="58" s="1"/>
  <c r="O15" i="58"/>
  <c r="O17" i="58" s="1"/>
  <c r="AL88" i="57"/>
  <c r="AO68" i="55"/>
  <c r="AP68" i="55"/>
  <c r="AP87" i="57"/>
  <c r="AO87" i="57"/>
  <c r="AP86" i="57"/>
  <c r="AO86" i="57"/>
  <c r="AP85" i="57"/>
  <c r="AO85" i="57"/>
  <c r="AP84" i="57"/>
  <c r="AO84" i="57"/>
  <c r="AP83" i="57"/>
  <c r="AO83" i="57"/>
  <c r="AP82" i="57"/>
  <c r="AO82" i="57"/>
  <c r="AP81" i="57"/>
  <c r="AO81" i="57"/>
  <c r="AP80" i="57"/>
  <c r="AO80" i="57"/>
  <c r="AP79" i="57"/>
  <c r="AO79" i="57"/>
  <c r="AP78" i="57"/>
  <c r="AO78" i="57"/>
  <c r="AP77" i="57"/>
  <c r="AO77" i="57"/>
  <c r="AP76" i="57"/>
  <c r="AO76" i="57"/>
  <c r="AP75" i="57"/>
  <c r="AO75" i="57"/>
  <c r="AP74" i="57"/>
  <c r="AO74" i="57"/>
  <c r="AP73" i="57"/>
  <c r="AO73" i="57"/>
  <c r="AP72" i="57"/>
  <c r="AO72" i="57"/>
  <c r="AP71" i="57"/>
  <c r="AO71" i="57"/>
  <c r="AP70" i="57"/>
  <c r="AO70" i="57"/>
  <c r="AP69" i="57"/>
  <c r="AO69" i="57"/>
  <c r="AP68" i="57"/>
  <c r="AO68" i="57"/>
  <c r="AP67" i="57"/>
  <c r="AO67" i="57"/>
  <c r="AP66" i="57"/>
  <c r="AO66" i="57"/>
  <c r="AM66" i="57"/>
  <c r="AP65" i="57"/>
  <c r="AO65" i="57"/>
  <c r="AM65" i="57"/>
  <c r="AP64" i="57"/>
  <c r="AO64" i="57"/>
  <c r="AP63" i="57"/>
  <c r="AO63" i="57"/>
  <c r="AP62" i="57"/>
  <c r="AO62" i="57"/>
  <c r="AP61" i="57"/>
  <c r="AO61" i="57"/>
  <c r="AP60" i="57"/>
  <c r="AO60" i="57"/>
  <c r="AP59" i="57"/>
  <c r="AO59" i="57"/>
  <c r="AM59" i="57"/>
  <c r="AP58" i="57"/>
  <c r="AO58" i="57"/>
  <c r="J17" i="57"/>
  <c r="I17" i="57"/>
  <c r="C17" i="57"/>
  <c r="AE16" i="57"/>
  <c r="AE15" i="57" s="1"/>
  <c r="AE17" i="57" s="1"/>
  <c r="AD16" i="57"/>
  <c r="AC16" i="57"/>
  <c r="AC15" i="57" s="1"/>
  <c r="AC17" i="57" s="1"/>
  <c r="AB16" i="57"/>
  <c r="AB15" i="57" s="1"/>
  <c r="AB17" i="57" s="1"/>
  <c r="Y16" i="57"/>
  <c r="Y15" i="57" s="1"/>
  <c r="Y17" i="57" s="1"/>
  <c r="X16" i="57"/>
  <c r="X15" i="57" s="1"/>
  <c r="X17" i="57" s="1"/>
  <c r="W16" i="57"/>
  <c r="W15" i="57" s="1"/>
  <c r="W17" i="57" s="1"/>
  <c r="V16" i="57"/>
  <c r="V15" i="57" s="1"/>
  <c r="V17" i="57" s="1"/>
  <c r="U16" i="57"/>
  <c r="U15" i="57" s="1"/>
  <c r="U17" i="57" s="1"/>
  <c r="R16" i="57"/>
  <c r="R15" i="57" s="1"/>
  <c r="R17" i="57" s="1"/>
  <c r="Q16" i="57"/>
  <c r="Q15" i="57" s="1"/>
  <c r="Q17" i="57" s="1"/>
  <c r="P16" i="57"/>
  <c r="P15" i="57" s="1"/>
  <c r="P17" i="57" s="1"/>
  <c r="O16" i="57"/>
  <c r="O15" i="57" s="1"/>
  <c r="O17" i="57" s="1"/>
  <c r="H16" i="57"/>
  <c r="H15" i="57" s="1"/>
  <c r="H17" i="57" s="1"/>
  <c r="G16" i="57"/>
  <c r="D16" i="57"/>
  <c r="B16" i="57"/>
  <c r="AD15" i="57"/>
  <c r="AD17" i="57" s="1"/>
  <c r="G15" i="57"/>
  <c r="G17" i="57" s="1"/>
  <c r="D15" i="57"/>
  <c r="D17" i="57" s="1"/>
  <c r="AF16" i="56"/>
  <c r="AF15" i="56" s="1"/>
  <c r="AF17" i="56" s="1"/>
  <c r="AE16" i="56"/>
  <c r="AE15" i="56" s="1"/>
  <c r="AE17" i="56" s="1"/>
  <c r="AB16" i="56"/>
  <c r="AB15" i="56" s="1"/>
  <c r="AB17" i="56" s="1"/>
  <c r="AA16" i="56"/>
  <c r="AA15" i="56" s="1"/>
  <c r="AA17" i="56" s="1"/>
  <c r="Z16" i="56"/>
  <c r="Z15" i="56" s="1"/>
  <c r="Z17" i="56" s="1"/>
  <c r="Y16" i="56"/>
  <c r="Y15" i="56" s="1"/>
  <c r="Y17" i="56" s="1"/>
  <c r="X16" i="56"/>
  <c r="X15" i="56" s="1"/>
  <c r="X17" i="56" s="1"/>
  <c r="U16" i="56"/>
  <c r="U15" i="56" s="1"/>
  <c r="U17" i="56" s="1"/>
  <c r="T16" i="56"/>
  <c r="T15" i="56" s="1"/>
  <c r="T17" i="56" s="1"/>
  <c r="S17" i="56"/>
  <c r="R16" i="56"/>
  <c r="Q16" i="56"/>
  <c r="N16" i="56"/>
  <c r="N15" i="56" s="1"/>
  <c r="N17" i="56" s="1"/>
  <c r="M16" i="56"/>
  <c r="M15" i="56" s="1"/>
  <c r="L16" i="56"/>
  <c r="K16" i="56"/>
  <c r="K15" i="56" s="1"/>
  <c r="K17" i="56" s="1"/>
  <c r="J17" i="56"/>
  <c r="G16" i="56"/>
  <c r="G15" i="56" s="1"/>
  <c r="G17" i="56" s="1"/>
  <c r="F16" i="56"/>
  <c r="F15" i="56" s="1"/>
  <c r="F17" i="56" s="1"/>
  <c r="E16" i="56"/>
  <c r="E15" i="56" s="1"/>
  <c r="E17" i="56" s="1"/>
  <c r="D16" i="56"/>
  <c r="D15" i="56" s="1"/>
  <c r="D17" i="56" s="1"/>
  <c r="C16" i="56"/>
  <c r="AM84" i="56"/>
  <c r="AO84" i="56"/>
  <c r="AP84" i="56"/>
  <c r="AO85" i="56"/>
  <c r="AP85" i="56"/>
  <c r="AO86" i="56"/>
  <c r="AP86" i="56"/>
  <c r="AO87" i="56"/>
  <c r="AP87" i="56"/>
  <c r="AL89" i="56"/>
  <c r="AP88" i="56"/>
  <c r="AO88" i="56"/>
  <c r="AP83" i="56"/>
  <c r="AO83" i="56"/>
  <c r="AP82" i="56"/>
  <c r="AO82" i="56"/>
  <c r="AP81" i="56"/>
  <c r="AO81" i="56"/>
  <c r="AP80" i="56"/>
  <c r="AO80" i="56"/>
  <c r="AP79" i="56"/>
  <c r="AO79" i="56"/>
  <c r="AP78" i="56"/>
  <c r="AO78" i="56"/>
  <c r="AP77" i="56"/>
  <c r="AO77" i="56"/>
  <c r="AP76" i="56"/>
  <c r="AO76" i="56"/>
  <c r="AP75" i="56"/>
  <c r="AO75" i="56"/>
  <c r="AP74" i="56"/>
  <c r="AO74" i="56"/>
  <c r="AP73" i="56"/>
  <c r="AO73" i="56"/>
  <c r="AP72" i="56"/>
  <c r="AO72" i="56"/>
  <c r="AP71" i="56"/>
  <c r="AO71" i="56"/>
  <c r="AP70" i="56"/>
  <c r="AO70" i="56"/>
  <c r="AP69" i="56"/>
  <c r="AO69" i="56"/>
  <c r="AP68" i="56"/>
  <c r="AO68" i="56"/>
  <c r="AP67" i="56"/>
  <c r="AO67" i="56"/>
  <c r="AP66" i="56"/>
  <c r="AO66" i="56"/>
  <c r="AP65" i="56"/>
  <c r="AO65" i="56"/>
  <c r="AP64" i="56"/>
  <c r="AO64" i="56"/>
  <c r="AP63" i="56"/>
  <c r="AO63" i="56"/>
  <c r="AP62" i="56"/>
  <c r="AO62" i="56"/>
  <c r="AP61" i="56"/>
  <c r="AO61" i="56"/>
  <c r="AP60" i="56"/>
  <c r="AO60" i="56"/>
  <c r="AP59" i="56"/>
  <c r="AO59" i="56"/>
  <c r="AP58" i="56"/>
  <c r="AO58" i="56"/>
  <c r="AM87" i="56" s="1"/>
  <c r="R15" i="56"/>
  <c r="R17" i="56" s="1"/>
  <c r="Q15" i="56"/>
  <c r="Q17" i="56" s="1"/>
  <c r="AP86" i="55"/>
  <c r="AO86" i="55"/>
  <c r="AO82" i="55"/>
  <c r="AP82" i="55"/>
  <c r="AL89" i="55"/>
  <c r="AP87" i="55"/>
  <c r="AB16" i="55"/>
  <c r="AB15" i="55" s="1"/>
  <c r="AB17" i="55" s="1"/>
  <c r="AA16" i="55"/>
  <c r="AA15" i="55" s="1"/>
  <c r="AA17" i="55" s="1"/>
  <c r="Z16" i="55"/>
  <c r="Z15" i="55" s="1"/>
  <c r="Z17" i="55" s="1"/>
  <c r="Y16" i="55"/>
  <c r="Y15" i="55" s="1"/>
  <c r="Y17" i="55" s="1"/>
  <c r="X16" i="55"/>
  <c r="X15" i="55" s="1"/>
  <c r="X17" i="55" s="1"/>
  <c r="U16" i="55"/>
  <c r="U15" i="55" s="1"/>
  <c r="U17" i="55" s="1"/>
  <c r="T16" i="55"/>
  <c r="T15" i="55" s="1"/>
  <c r="T17" i="55" s="1"/>
  <c r="S16" i="55"/>
  <c r="S15" i="55" s="1"/>
  <c r="S17" i="55" s="1"/>
  <c r="R16" i="55"/>
  <c r="R15" i="55" s="1"/>
  <c r="R17" i="55" s="1"/>
  <c r="Q16" i="55"/>
  <c r="Q15" i="55" s="1"/>
  <c r="Q17" i="55" s="1"/>
  <c r="N16" i="55"/>
  <c r="N15" i="55" s="1"/>
  <c r="N17" i="55" s="1"/>
  <c r="M16" i="55"/>
  <c r="M15" i="55" s="1"/>
  <c r="M17" i="55" s="1"/>
  <c r="L16" i="55"/>
  <c r="L15" i="55" s="1"/>
  <c r="L17" i="55" s="1"/>
  <c r="K16" i="55"/>
  <c r="K15" i="55" s="1"/>
  <c r="K17" i="55" s="1"/>
  <c r="J16" i="55"/>
  <c r="J15" i="55" s="1"/>
  <c r="J17" i="55" s="1"/>
  <c r="G16" i="55"/>
  <c r="G15" i="55" s="1"/>
  <c r="G17" i="55" s="1"/>
  <c r="E16" i="55"/>
  <c r="E15" i="55" s="1"/>
  <c r="E17" i="55" s="1"/>
  <c r="D16" i="55"/>
  <c r="D15" i="55" s="1"/>
  <c r="D17" i="55" s="1"/>
  <c r="C16" i="55"/>
  <c r="C15" i="55" s="1"/>
  <c r="C17" i="55" s="1"/>
  <c r="F16" i="55"/>
  <c r="F15" i="55" s="1"/>
  <c r="AP88" i="55"/>
  <c r="AO88" i="55"/>
  <c r="AO87" i="55"/>
  <c r="AP85" i="55"/>
  <c r="AO85" i="55"/>
  <c r="AP84" i="55"/>
  <c r="AO84" i="55"/>
  <c r="AP83" i="55"/>
  <c r="AO83" i="55"/>
  <c r="AP81" i="55"/>
  <c r="AO81" i="55"/>
  <c r="AP80" i="55"/>
  <c r="AO80" i="55"/>
  <c r="AP79" i="55"/>
  <c r="AO79" i="55"/>
  <c r="AP78" i="55"/>
  <c r="AO78" i="55"/>
  <c r="AP77" i="55"/>
  <c r="AO77" i="55"/>
  <c r="AP76" i="55"/>
  <c r="AO76" i="55"/>
  <c r="AP75" i="55"/>
  <c r="AO75" i="55"/>
  <c r="AP74" i="55"/>
  <c r="AO74" i="55"/>
  <c r="AP73" i="55"/>
  <c r="AO73" i="55"/>
  <c r="AP72" i="55"/>
  <c r="AO72" i="55"/>
  <c r="AP71" i="55"/>
  <c r="AO71" i="55"/>
  <c r="AP70" i="55"/>
  <c r="AO70" i="55"/>
  <c r="AP69" i="55"/>
  <c r="AO69" i="55"/>
  <c r="AP67" i="55"/>
  <c r="AO67" i="55"/>
  <c r="AP66" i="55"/>
  <c r="AO66" i="55"/>
  <c r="AP65" i="55"/>
  <c r="AO65" i="55"/>
  <c r="AP64" i="55"/>
  <c r="AO64" i="55"/>
  <c r="AP63" i="55"/>
  <c r="AO63" i="55"/>
  <c r="AP62" i="55"/>
  <c r="AO62" i="55"/>
  <c r="AP61" i="55"/>
  <c r="AO61" i="55"/>
  <c r="AP60" i="55"/>
  <c r="AO60" i="55"/>
  <c r="AP59" i="55"/>
  <c r="AO59" i="55"/>
  <c r="AP58" i="55"/>
  <c r="AO58" i="55"/>
  <c r="AM68" i="55" s="1"/>
  <c r="AP70" i="54"/>
  <c r="AO70" i="54"/>
  <c r="AM70" i="54"/>
  <c r="AP80" i="54"/>
  <c r="AO80" i="54"/>
  <c r="AP89" i="54"/>
  <c r="AO89" i="54"/>
  <c r="AP90" i="54"/>
  <c r="AO90" i="54"/>
  <c r="AM66" i="54"/>
  <c r="AM65" i="54"/>
  <c r="AE16" i="54"/>
  <c r="AE15" i="54" s="1"/>
  <c r="AE17" i="54" s="1"/>
  <c r="AD16" i="54"/>
  <c r="AD15" i="54" s="1"/>
  <c r="AD17" i="54" s="1"/>
  <c r="AC16" i="54"/>
  <c r="AC15" i="54" s="1"/>
  <c r="AC17" i="54" s="1"/>
  <c r="AB16" i="54"/>
  <c r="AB15" i="54" s="1"/>
  <c r="AB17" i="54" s="1"/>
  <c r="AA16" i="54"/>
  <c r="AA15" i="54" s="1"/>
  <c r="AA17" i="54" s="1"/>
  <c r="X16" i="54"/>
  <c r="X15" i="54" s="1"/>
  <c r="X17" i="54" s="1"/>
  <c r="W16" i="54"/>
  <c r="W15" i="54" s="1"/>
  <c r="W17" i="54" s="1"/>
  <c r="V16" i="54"/>
  <c r="V15" i="54" s="1"/>
  <c r="V17" i="54" s="1"/>
  <c r="U16" i="54"/>
  <c r="U15" i="54" s="1"/>
  <c r="U17" i="54" s="1"/>
  <c r="T16" i="54"/>
  <c r="T15" i="54" s="1"/>
  <c r="T17" i="54" s="1"/>
  <c r="Q16" i="54"/>
  <c r="Q15" i="54" s="1"/>
  <c r="Q17" i="54" s="1"/>
  <c r="P16" i="54"/>
  <c r="P15" i="54" s="1"/>
  <c r="P17" i="54" s="1"/>
  <c r="O16" i="54"/>
  <c r="O15" i="54" s="1"/>
  <c r="O17" i="54" s="1"/>
  <c r="N16" i="54"/>
  <c r="N15" i="54" s="1"/>
  <c r="N17" i="54" s="1"/>
  <c r="M16" i="54"/>
  <c r="M15" i="54" s="1"/>
  <c r="M17" i="54" s="1"/>
  <c r="J17" i="54"/>
  <c r="I17" i="54"/>
  <c r="F16" i="54"/>
  <c r="F15" i="54" s="1"/>
  <c r="AL93" i="54"/>
  <c r="AP92" i="54"/>
  <c r="AO92" i="54"/>
  <c r="AP91" i="54"/>
  <c r="AO91" i="54"/>
  <c r="AP88" i="54"/>
  <c r="AO88" i="54"/>
  <c r="AP87" i="54"/>
  <c r="AO87" i="54"/>
  <c r="AP86" i="54"/>
  <c r="AO86" i="54"/>
  <c r="AP85" i="54"/>
  <c r="AO85" i="54"/>
  <c r="AO84" i="54"/>
  <c r="AP83" i="54"/>
  <c r="AO83" i="54"/>
  <c r="AP82" i="54"/>
  <c r="AO82" i="54"/>
  <c r="AP81" i="54"/>
  <c r="AO81" i="54"/>
  <c r="AP79" i="54"/>
  <c r="AO79" i="54"/>
  <c r="AP78" i="54"/>
  <c r="AO78" i="54"/>
  <c r="AP77" i="54"/>
  <c r="AO77" i="54"/>
  <c r="AP76" i="54"/>
  <c r="AO76" i="54"/>
  <c r="AP75" i="54"/>
  <c r="AO75" i="54"/>
  <c r="AP74" i="54"/>
  <c r="AO74" i="54"/>
  <c r="AP73" i="54"/>
  <c r="AO73" i="54"/>
  <c r="AP72" i="54"/>
  <c r="AO72" i="54"/>
  <c r="AP71" i="54"/>
  <c r="AO71" i="54"/>
  <c r="AP69" i="54"/>
  <c r="AO69" i="54"/>
  <c r="AP68" i="54"/>
  <c r="AO68" i="54"/>
  <c r="AP67" i="54"/>
  <c r="AO67" i="54"/>
  <c r="AP66" i="54"/>
  <c r="AO66" i="54"/>
  <c r="AP65" i="54"/>
  <c r="AO65" i="54"/>
  <c r="AP64" i="54"/>
  <c r="AO64" i="54"/>
  <c r="AP63" i="54"/>
  <c r="AO63" i="54"/>
  <c r="AP62" i="54"/>
  <c r="AO62" i="54"/>
  <c r="AP61" i="54"/>
  <c r="AO61" i="54"/>
  <c r="AP60" i="54"/>
  <c r="AO60" i="54"/>
  <c r="AP59" i="54"/>
  <c r="AO59" i="54"/>
  <c r="AP58" i="54"/>
  <c r="AO58" i="54"/>
  <c r="AM80" i="54" s="1"/>
  <c r="B15" i="57" l="1"/>
  <c r="AG15" i="57" s="1"/>
  <c r="AG16" i="57"/>
  <c r="AM73" i="57"/>
  <c r="AM87" i="57"/>
  <c r="AM84" i="57"/>
  <c r="AM85" i="57"/>
  <c r="AM74" i="57"/>
  <c r="AM79" i="57"/>
  <c r="AM86" i="58"/>
  <c r="AM62" i="58"/>
  <c r="AM72" i="58"/>
  <c r="AK16" i="58"/>
  <c r="AL16" i="58" s="1"/>
  <c r="AM69" i="58"/>
  <c r="AM79" i="58"/>
  <c r="AM64" i="58"/>
  <c r="AM75" i="58"/>
  <c r="AM85" i="58"/>
  <c r="AM70" i="58"/>
  <c r="AM65" i="58"/>
  <c r="AM76" i="58"/>
  <c r="E15" i="58"/>
  <c r="AM61" i="58"/>
  <c r="AM71" i="58"/>
  <c r="AM82" i="58"/>
  <c r="AM77" i="58"/>
  <c r="AG16" i="58"/>
  <c r="AH16" i="58" s="1"/>
  <c r="AM83" i="58"/>
  <c r="AM78" i="58"/>
  <c r="AM63" i="58"/>
  <c r="AH16" i="57"/>
  <c r="AM83" i="55"/>
  <c r="AM86" i="55"/>
  <c r="AK15" i="57"/>
  <c r="AI16" i="57"/>
  <c r="AJ16" i="57" s="1"/>
  <c r="AM63" i="57"/>
  <c r="AK16" i="57"/>
  <c r="AL16" i="57" s="1"/>
  <c r="AM64" i="57"/>
  <c r="AI15" i="57"/>
  <c r="AM86" i="57"/>
  <c r="AM71" i="57"/>
  <c r="AM81" i="57"/>
  <c r="AM60" i="57"/>
  <c r="AM77" i="57"/>
  <c r="AM72" i="57"/>
  <c r="AM58" i="57"/>
  <c r="B17" i="57"/>
  <c r="AM80" i="57"/>
  <c r="AM78" i="57"/>
  <c r="AM63" i="56"/>
  <c r="AK16" i="56"/>
  <c r="AL16" i="56" s="1"/>
  <c r="AM68" i="56"/>
  <c r="AM73" i="56"/>
  <c r="AG16" i="56"/>
  <c r="AH16" i="56" s="1"/>
  <c r="AM69" i="56"/>
  <c r="AM70" i="56"/>
  <c r="C15" i="56"/>
  <c r="AM81" i="56"/>
  <c r="AM66" i="56"/>
  <c r="AM76" i="56"/>
  <c r="AI16" i="56"/>
  <c r="AJ16" i="56" s="1"/>
  <c r="AM83" i="56"/>
  <c r="AM80" i="56"/>
  <c r="AM75" i="56"/>
  <c r="AM82" i="56"/>
  <c r="L15" i="56"/>
  <c r="L17" i="56" s="1"/>
  <c r="AM74" i="56"/>
  <c r="AM88" i="56"/>
  <c r="AM59" i="56"/>
  <c r="AM60" i="56"/>
  <c r="AM61" i="56"/>
  <c r="AM67" i="56"/>
  <c r="AM77" i="56"/>
  <c r="AM62" i="56"/>
  <c r="AM82" i="55"/>
  <c r="AM69" i="55"/>
  <c r="AM66" i="55"/>
  <c r="AM84" i="55"/>
  <c r="AM85" i="55"/>
  <c r="AM74" i="55"/>
  <c r="AM59" i="55"/>
  <c r="AM75" i="55"/>
  <c r="AM67" i="55"/>
  <c r="AM60" i="55"/>
  <c r="AM76" i="55"/>
  <c r="AM71" i="55"/>
  <c r="AM61" i="55"/>
  <c r="AM77" i="55"/>
  <c r="AM81" i="55"/>
  <c r="AM63" i="55"/>
  <c r="AM78" i="55"/>
  <c r="AM70" i="55"/>
  <c r="AM87" i="55"/>
  <c r="F17" i="55"/>
  <c r="AK15" i="55"/>
  <c r="AI15" i="55"/>
  <c r="AG15" i="55"/>
  <c r="AG16" i="55"/>
  <c r="AH16" i="55" s="1"/>
  <c r="AI16" i="55"/>
  <c r="AJ16" i="55" s="1"/>
  <c r="AK16" i="55"/>
  <c r="AL16" i="55" s="1"/>
  <c r="AM62" i="55"/>
  <c r="AM90" i="54"/>
  <c r="AM89" i="54"/>
  <c r="AM91" i="54"/>
  <c r="AM88" i="54"/>
  <c r="AM87" i="54"/>
  <c r="AM86" i="54"/>
  <c r="AM85" i="54"/>
  <c r="AM82" i="54"/>
  <c r="AM81" i="54"/>
  <c r="AM79" i="54"/>
  <c r="AM78" i="54"/>
  <c r="AM77" i="54"/>
  <c r="AM74" i="54"/>
  <c r="AM73" i="54"/>
  <c r="AM72" i="54"/>
  <c r="AM71" i="54"/>
  <c r="AM69" i="54"/>
  <c r="AM62" i="54"/>
  <c r="F17" i="54"/>
  <c r="AI15" i="54"/>
  <c r="AM93" i="54"/>
  <c r="AI16" i="54"/>
  <c r="AJ16" i="54" s="1"/>
  <c r="AK16" i="54"/>
  <c r="AL16" i="54" s="1"/>
  <c r="AG16" i="54"/>
  <c r="AH16" i="54" s="1"/>
  <c r="AM89" i="58" l="1"/>
  <c r="AG15" i="58"/>
  <c r="E17" i="58"/>
  <c r="AI15" i="58"/>
  <c r="AK15" i="58"/>
  <c r="AM88" i="57"/>
  <c r="AJ15" i="57"/>
  <c r="AJ17" i="57" s="1"/>
  <c r="AI17" i="57"/>
  <c r="AH15" i="57"/>
  <c r="AH17" i="57" s="1"/>
  <c r="AG17" i="57"/>
  <c r="AL15" i="57"/>
  <c r="AL17" i="57" s="1"/>
  <c r="AK17" i="57"/>
  <c r="C17" i="56"/>
  <c r="AM89" i="56"/>
  <c r="AM89" i="55"/>
  <c r="AG17" i="55"/>
  <c r="AH15" i="55"/>
  <c r="AH17" i="55" s="1"/>
  <c r="AJ15" i="55"/>
  <c r="AJ17" i="55" s="1"/>
  <c r="AI17" i="55"/>
  <c r="AL15" i="55"/>
  <c r="AL17" i="55" s="1"/>
  <c r="AK17" i="55"/>
  <c r="AG15" i="54"/>
  <c r="AK15" i="54"/>
  <c r="AK17" i="58" l="1"/>
  <c r="AL15" i="58"/>
  <c r="AL17" i="58" s="1"/>
  <c r="AI17" i="58"/>
  <c r="AJ15" i="58"/>
  <c r="AJ17" i="58" s="1"/>
  <c r="AH15" i="58"/>
  <c r="AH17" i="58" s="1"/>
  <c r="AG17" i="58"/>
  <c r="AL15" i="54"/>
  <c r="AL17" i="54" s="1"/>
  <c r="AK17" i="54"/>
  <c r="AG17" i="54"/>
  <c r="AH15" i="54"/>
  <c r="AH17" i="54" s="1"/>
  <c r="AI17" i="54"/>
  <c r="AJ15" i="54"/>
  <c r="AJ17" i="54" s="1"/>
  <c r="AK15" i="56" l="1"/>
  <c r="AL15" i="56" s="1"/>
  <c r="AL17" i="56" s="1"/>
  <c r="AI15" i="56"/>
  <c r="AJ15" i="56" s="1"/>
  <c r="AJ17" i="56" s="1"/>
  <c r="AI17" i="56"/>
  <c r="AG15" i="56"/>
  <c r="AG17" i="56" s="1"/>
  <c r="AH15" i="56"/>
  <c r="AH17" i="56" s="1"/>
  <c r="M17" i="56"/>
  <c r="AK17" i="56" l="1"/>
</calcChain>
</file>

<file path=xl/sharedStrings.xml><?xml version="1.0" encoding="utf-8"?>
<sst xmlns="http://schemas.openxmlformats.org/spreadsheetml/2006/main" count="1109" uniqueCount="257">
  <si>
    <t xml:space="preserve">National holidays = </t>
  </si>
  <si>
    <t xml:space="preserve">Weekend = </t>
  </si>
  <si>
    <t xml:space="preserve">Delegation = </t>
  </si>
  <si>
    <t>DE</t>
  </si>
  <si>
    <t xml:space="preserve">Annual Leave = </t>
  </si>
  <si>
    <t>CO</t>
  </si>
  <si>
    <t xml:space="preserve">Medical Leave = </t>
  </si>
  <si>
    <t>CM</t>
  </si>
  <si>
    <t>Delegatie proiecte =</t>
  </si>
  <si>
    <t>Timesheet  
Name: Simona Khamissi
Position: Senior Administrative</t>
  </si>
  <si>
    <t>Organisation: Concordia Employers Confederation</t>
  </si>
  <si>
    <t>JANUARY 2026 - 144 working hours</t>
  </si>
  <si>
    <t>HOURS
TOTAL</t>
  </si>
  <si>
    <t>DAYS
TOTAL</t>
  </si>
  <si>
    <t>HOURS
CO</t>
  </si>
  <si>
    <t>DAYS
CO</t>
  </si>
  <si>
    <t>HOURS
CM</t>
  </si>
  <si>
    <t>DAYS
CM</t>
  </si>
  <si>
    <t>Date</t>
  </si>
  <si>
    <t>Day</t>
  </si>
  <si>
    <t>Thu</t>
  </si>
  <si>
    <t>Fri</t>
  </si>
  <si>
    <t>Sat</t>
  </si>
  <si>
    <t>Sun</t>
  </si>
  <si>
    <t>Mon</t>
  </si>
  <si>
    <t>Tue</t>
  </si>
  <si>
    <t>Wed</t>
  </si>
  <si>
    <t>CONCORDIA</t>
  </si>
  <si>
    <t>PEO_Expert cu protectia datelor cu caracter personal</t>
  </si>
  <si>
    <t>TOTAL</t>
  </si>
  <si>
    <t xml:space="preserve">Signed: </t>
  </si>
  <si>
    <t>_________________________</t>
  </si>
  <si>
    <t>Date:</t>
  </si>
  <si>
    <t>Approved:</t>
  </si>
  <si>
    <t>Name:</t>
  </si>
  <si>
    <t>Position:</t>
  </si>
  <si>
    <t xml:space="preserve"> </t>
  </si>
  <si>
    <t>Numele şi prenumele expertului</t>
  </si>
  <si>
    <t>SIMONA KHAMISSI</t>
  </si>
  <si>
    <t>Poziția în proiect</t>
  </si>
  <si>
    <t>Expert cu protectia datelor cu caracter personal</t>
  </si>
  <si>
    <t>Categoria expertului</t>
  </si>
  <si>
    <t>&lt; 5 ANI</t>
  </si>
  <si>
    <t>Denumire Beneficiar (Lider de parteneriat)/Partener</t>
  </si>
  <si>
    <t xml:space="preserve">CONFEDERATIA PATRONALA CONCORDIA </t>
  </si>
  <si>
    <t>Cod / titlu proiect 1:</t>
  </si>
  <si>
    <t>Consolidarea capacității Concordia pentru dialog social - Cod Proiect: 302141</t>
  </si>
  <si>
    <t>Ziua</t>
  </si>
  <si>
    <t>Nr. activit</t>
  </si>
  <si>
    <t>Subactivitate</t>
  </si>
  <si>
    <t>Rata orara</t>
  </si>
  <si>
    <t>ORE PEO</t>
  </si>
  <si>
    <t>Alte activitati</t>
  </si>
  <si>
    <t>DESCRIERE ACTIVITATE</t>
  </si>
  <si>
    <t>ZIUA</t>
  </si>
  <si>
    <t>SUBACTIVITATE</t>
  </si>
  <si>
    <t>LIVRABIL COMUN (DA/NU)</t>
  </si>
  <si>
    <t xml:space="preserve">EXPERTI </t>
  </si>
  <si>
    <t>STADIU LIVRABIL (in realizare/finalizat)</t>
  </si>
  <si>
    <t>RAPORT PRELIMINAR/MOM</t>
  </si>
  <si>
    <t>CATEGORIE LIVRABIL 1</t>
  </si>
  <si>
    <t>LIVRABIL 1</t>
  </si>
  <si>
    <t>CATEGORIE LIVRABIL 2</t>
  </si>
  <si>
    <t>LIVRABIL 2</t>
  </si>
  <si>
    <t>CATEGORIE LIVRABIL 3</t>
  </si>
  <si>
    <t>LIVRABIL 3</t>
  </si>
  <si>
    <t>LINK/DOC STUDIAT</t>
  </si>
  <si>
    <t>ANEXE</t>
  </si>
  <si>
    <t>A1</t>
  </si>
  <si>
    <t>SA1.1 Informare, recrutare, selectie grup tinta</t>
  </si>
  <si>
    <t xml:space="preserve">RP_Privind verificarea conformității activităților de monitorizare a grupului țintă – DEC 2025 </t>
  </si>
  <si>
    <t>Da</t>
  </si>
  <si>
    <t>Roxana I Alexandru E, Simona K</t>
  </si>
  <si>
    <t>finalizat</t>
  </si>
  <si>
    <t>RAPORT DE VERIFICARE GDPR _Privind verificarea conformității activităților de monitorizare a activităților grupului țintă – decembrie 2025</t>
  </si>
  <si>
    <t xml:space="preserve">Verificarea respectarii GDPR in cadrul facturarii Quickdata SRL conform contractului nr.26/29.10.2025 și PV-ului de recepție semnat </t>
  </si>
  <si>
    <t>Nu</t>
  </si>
  <si>
    <t>Simona K</t>
  </si>
  <si>
    <t>in realizare</t>
  </si>
  <si>
    <t>Verificarea conformității GDPR în gestionarea procesului de facturare și plată aferent serviciilor de organizare eveniment și campanie de promovare a raportului de analiză privind "Impozitarea muncii”- QUICKDATA</t>
  </si>
  <si>
    <t xml:space="preserve">Verificarea conformitatii GDPR a documentelor de inscriere GT – FPBR </t>
  </si>
  <si>
    <t xml:space="preserve">Raport preliminar -VERIFICARE DOCUMENTE ÎNSCRIERE GT – FPBR – conform legislatiei GDPR </t>
  </si>
  <si>
    <t>Dosar Grup TInta FPBR</t>
  </si>
  <si>
    <t>Verificarea respectarii procedurii GDPR in publicarea comunicatelor media, anunturilor, documentelor de pozitie, stirilor, evenimentelor din luna DEC 2025</t>
  </si>
  <si>
    <t xml:space="preserve">RP_ Verificarea respectarii GDPR in cadrul procesului de publicare online a comunicatelor media, anunturilor, documentelor de pozitie, stirilor, evenimentelor – luna dec 2025 </t>
  </si>
  <si>
    <t>Aliniere aspecte de GDPR pentru eveniment flagship Iași_ RP cu Irina N</t>
  </si>
  <si>
    <t>Irina N</t>
  </si>
  <si>
    <t xml:space="preserve">RP_Referitor la ședința privind cerințele GDPR pentru Evenimentului anual (2025) privind inaugurarea operaționalizării Centrului regional Concordia Hub Est </t>
  </si>
  <si>
    <t>Verificarea respectarii GDPR in cadrul intalnirilor online din luna Decembrie 2025</t>
  </si>
  <si>
    <t xml:space="preserve">RP_Verificarea respectarii protectiei datelor cu caracter personal conform GDPR in cadrul intalnirilor online din cadrul Confederatiei Patronala Concordia - Decembrie 2025 </t>
  </si>
  <si>
    <t>Verificarea conformitatii GDPR: oferte primite si rezultatul licitatiei pentru serviciu de organizare forumuri/ateliere de lucru anuale pentru Centrul Regional 1 (8 forumuri/ ateliere)</t>
  </si>
  <si>
    <t xml:space="preserve">Raport preliminar /Verificarea respectarii protecției datelor cu caracter personal in gestionarea procesului evaluare a ofertelor și a rezultatelor licitației /Proiect: Serviciu de organizare forumuri/ateliere de lucru anuale, pentru Centrul Regional 1 (8 forumuri/ ateliere) </t>
  </si>
  <si>
    <t>Verificarea conformitatii GDPR in incheierea contractului pentru serviciu de organizare forumuri/ateliere de lucru anuale pentru Centrul Regional 1 (8 forumuri/ ateliere)</t>
  </si>
  <si>
    <t xml:space="preserve">RP_Verificarea conformitatii GDPR in incheierea contractului pentru serviciu de organizare forumuri/ateliere de lucru anuale pentru Centrul Regional 1 (8 forumuri/ ateliere) </t>
  </si>
  <si>
    <t>Minuta întâlnirii de lucru Status implementare PEO 21.01.2026</t>
  </si>
  <si>
    <t>MINUTA STATUS</t>
  </si>
  <si>
    <r>
      <rPr>
        <sz val="11"/>
        <color rgb="FF000000"/>
        <rFont val="Calibri"/>
        <family val="2"/>
        <scheme val="minor"/>
      </rPr>
      <t>Minuta_Referitor la ședința privind cerințele GDPR pentru atelierele desfășurate în cadrul Centrului regional Concordia Hub Est _</t>
    </r>
    <r>
      <rPr>
        <sz val="11"/>
        <color rgb="FFFF0000"/>
        <rFont val="Calibri"/>
        <family val="2"/>
        <scheme val="minor"/>
      </rPr>
      <t>RP la Irina N</t>
    </r>
  </si>
  <si>
    <t>Irina N, Alexandra C, Daniel Z, Simona K</t>
  </si>
  <si>
    <t>MINUTĂ -Referitor la ședința privind cerințele GDPR pentru atelierele desfășurate în cadrul Centrului regional Concordia Hub Est</t>
  </si>
  <si>
    <t xml:space="preserve">  </t>
  </si>
  <si>
    <t>Verificarea respectarii GDPR in cadrul procesului de organizare a evenimentelor Concordia in Business HUB - luna decembrie 2025 - RP cu AE - redactare document</t>
  </si>
  <si>
    <t>Alexandru E</t>
  </si>
  <si>
    <t xml:space="preserve">RAPORT PRELIMINAR _Privind trecerea în revistă a evenimentelor desfășurate în Business HUB în luna decembrie 2025 – Protecția datelor cu caracter personal </t>
  </si>
  <si>
    <r>
      <rPr>
        <sz val="11"/>
        <color rgb="FF000000"/>
        <rFont val="Calibri"/>
        <family val="2"/>
      </rPr>
      <t>MINUTĂ_Referitor la ședința de aliniere și status pentru Evenimentului anual (2026) privind inaugurarea operaționalizării Centrului regional Concordia Hub Est_</t>
    </r>
    <r>
      <rPr>
        <sz val="11"/>
        <color rgb="FFFF0000"/>
        <rFont val="Calibri"/>
        <family val="2"/>
      </rPr>
      <t>RP comun</t>
    </r>
  </si>
  <si>
    <t>Irina N, Nida H, Alexandra C, Daniel Z, Simona K</t>
  </si>
  <si>
    <t>MINUTĂ -Referitor la ședința de aliniere și status pentru Evenimentului anual (2026) privind inaugurarea operaționalizării Centrului regional Concordia Hub Est</t>
  </si>
  <si>
    <t>Monitorizare pre-ev din 29.01</t>
  </si>
  <si>
    <t xml:space="preserve">Nota interna -Verificarea si completarea check-listului din pre-ziua evenimentului, privind conformitatea GDPR in organizarea evenimentului din data de 29.01.2026 </t>
  </si>
  <si>
    <r>
      <rPr>
        <sz val="11"/>
        <color rgb="FF000000"/>
        <rFont val="Calibri"/>
        <family val="2"/>
      </rPr>
      <t xml:space="preserve">Participare la ev 29.01- monitorizare GDPR- </t>
    </r>
    <r>
      <rPr>
        <sz val="11"/>
        <color rgb="FFFF0000"/>
        <rFont val="Calibri"/>
        <family val="2"/>
      </rPr>
      <t>RP comun de la Rox.</t>
    </r>
  </si>
  <si>
    <t xml:space="preserve">Raport preliminar –  monitorizarea implementării Evenimentul Inaugurarea operaționalizării Centrului Regional 1 (Concordia HUB Est) </t>
  </si>
  <si>
    <t>Altele</t>
  </si>
  <si>
    <t>Checklist GDPR pentru organizarea evenimentelor – ev 29.01.2026</t>
  </si>
  <si>
    <t>Monitorizare pre-ev din 30.01</t>
  </si>
  <si>
    <t>Nota interna -Verificarea si completarea check-listului din pre-ziua evenimentului, privind conformitatea GDPR in organizarea evenimentului din data de 30.01.2026</t>
  </si>
  <si>
    <t>Monitorizarea implementarii ateliere Iasi</t>
  </si>
  <si>
    <t>DA</t>
  </si>
  <si>
    <t>Raport preliminar Monitorizarea implementării Workshopuri Concordia HUB Est (Centrul Regional 1</t>
  </si>
  <si>
    <t>Elaborare Raport de activitate</t>
  </si>
  <si>
    <t>NR. TOTAL DE ORE</t>
  </si>
  <si>
    <t>Subsemnatul declar, sub sancțiunea Codului penal privind falsul în declaraţii și a returnării sumelor încasate, că informațiile furnizate sunt adevărate și corecte în fiecare detaliu și înțeleg că AM/OI/OIR are dreptul să-mi solicite documente doveditoare în scopul verificării și confirmării acestora.</t>
  </si>
  <si>
    <t>Numele expertului:</t>
  </si>
  <si>
    <t>Semnătură:</t>
  </si>
  <si>
    <t>Data:</t>
  </si>
  <si>
    <t>Numele managerului de proiect:</t>
  </si>
  <si>
    <t>MIHAELA GRIGORAS</t>
  </si>
  <si>
    <t>FEBRUARY 2026 - 160 working hours</t>
  </si>
  <si>
    <t>Verificarea respectarii legislatiei GDPR in cadrul incheierii CIM pentru postul de Responsabil Centrul Regional 1 - Daniel Zaharia</t>
  </si>
  <si>
    <t xml:space="preserve">Raport preliminar  -Verificarea respectarii protectiei datelor cu caracter personal conform legislatiei GDPR in cadrul incheierii CIM in data de 13.01.2026 pentru ocuparea postului de Responsabil Centru Regional 1 - Iași </t>
  </si>
  <si>
    <t>Monitorizarea implementarii evenimentului "Consultare CESE - Semestrul European"</t>
  </si>
  <si>
    <t xml:space="preserve">Raport preliminar de verificare și monitorizare GDPR / Eveniment: Consultare CESE - Semestrul European </t>
  </si>
  <si>
    <t>Monitorizare post eveniment_30.01.2026 + check-list final</t>
  </si>
  <si>
    <t xml:space="preserve">Nota interna Verificarea si completarea check-listului din ziua evenimentului si post-eveniment, privind conformitatea GDPR in organizarea a doua workshop-uri: “Dialogul social in practica” si “ Echilibrarea economica: tendinte si riscuri in 2026” in cadrul Centrul Regional Concordia Hub Est 
ce au avut loc la Hotel Majestic-Iasi in data de 30.01.2026 </t>
  </si>
  <si>
    <t xml:space="preserve">Verificarea respectarii procedurii GDPR in publicarea comunicatelor media, anunturilor, documentelor de pozitie, stirilor, evenimentelor din luna IAN 2026 </t>
  </si>
  <si>
    <t xml:space="preserve">Raport preliminar -Verificarea respectarii GDPR in cadrul procesului de publicare online a comunicatelor media, anunturilor, documentelor de pozitie, stirilor, evenimentelor – luna ian 2026 </t>
  </si>
  <si>
    <t>Verificarea respectarii GDPR in cadrul intalnirilor online din luna Ianuarie 2026</t>
  </si>
  <si>
    <t xml:space="preserve">Raport preliminar -Verificarea respectarii protectiei datelor cu caracter personal conform GDPR in cadrul intalnirilor online din cadrul Confederatiei Patronala Concordia -Ianuarie 2026 </t>
  </si>
  <si>
    <t>Instructaj GDPR + elaborare doc_ coleg nou_ Responsabil Centrul Regional 1 - Daniel Zaharia</t>
  </si>
  <si>
    <t>Simona K, Daniel Z</t>
  </si>
  <si>
    <t xml:space="preserve">Nota interna -Instruire GDPR privind activitatea Responsabil Centru Regional 1 </t>
  </si>
  <si>
    <t>Pregătire Instructaj GDPR + elaborare doc_ coleg nou_ Responsabil Centrul Regional 1 - Daniel Zaharia</t>
  </si>
  <si>
    <t>Verificarea respectarii GDPR in cadrul procesului de organizare a evenimentelor Concordia in Business HUB - luna ianuarie 2026 - RP cu AE - redactare document</t>
  </si>
  <si>
    <t xml:space="preserve">RAPORT PRELIMINAR -Privind trecerea în revistă a evenimentelor desfășurate în Business HUB în luna ianuarie 2026 – Protecția datelor cu caracter personal  </t>
  </si>
  <si>
    <t>RP_Privind verificarea conformității activităților de monitorizare a activităților grupului țintă – IAN 2026</t>
  </si>
  <si>
    <t>Roxana I, Alexandru E, Simona K</t>
  </si>
  <si>
    <t xml:space="preserve">RAPORT DE VERIFICARE GDPR -Privind verificarea conformității activităților de monitorizare a activităților grupului țintă – ianuarie 2026 </t>
  </si>
  <si>
    <t>Minuta întâlnirii de lucru Status implementare PEO 18.02.2026</t>
  </si>
  <si>
    <t>mom peo</t>
  </si>
  <si>
    <t>Verificarea conformitatii GDPR in preluarea, analiza, salvarea documentelor primite pentru candidatura la postul de Asistent Judiciar: Tr Arges, Tr Ilfov, Tr. Prahova ai transmiterea rezultatelor Etapei I</t>
  </si>
  <si>
    <t xml:space="preserve">Raport Preliminar /Verificarea respectarii GDPR in cadrul intocmirii dosarelor candidatilor - Etapa I - pentru concursul de ocupare a postului de Asistent Judiciar la Tribunalele: Arges, Prahova, Ilfov si transmiterea rezultatelor Etapei I </t>
  </si>
  <si>
    <t>Verificarea conformitatii GDPR in pregatirea si desfasurarea Etapei II a selectiei pentru Asistenti Judiciari - testarea scrisa si transmiterea rezultatelor</t>
  </si>
  <si>
    <t xml:space="preserve">Raport preliminar -Validarea procedurii de lucru a Procesului de Selectie a Asistentilor Judiciari în materie de GDPR -Etapa II – examen scris grila si transmiterea rezultatelor catre candidati /Tribunalele Prahova, Argeș și Ilfov </t>
  </si>
  <si>
    <t>Verficare conformitate GDPR in cadrul organizarii si desfasurarii evenimentului EPG</t>
  </si>
  <si>
    <t xml:space="preserve">RAPORT DE MONITORIZARE GDPR IN ORGANIZAREA EVENIMENTULUI EPG - GRUP ȚINTĂ -23.02.2026 - Concordia HUB </t>
  </si>
  <si>
    <t>Verificarea conformitatii GDPR in cadrul interviurilor pentru ocuparea postului de Asistent Manager</t>
  </si>
  <si>
    <t xml:space="preserve">Raport Preliminar -Verificarea respectarii protectiei datelor cu caracter personal in cadrul interviurilor online pentru ocuparea postului de Asistent Manager - luna ian-feb 2026, organizate de Confederatia Patronala Concordia </t>
  </si>
  <si>
    <t xml:space="preserve">Actualizarea - "Politica de confidentialitate" - pe site-ul Concordia </t>
  </si>
  <si>
    <t xml:space="preserve">RAPORT PRELIMINAR -privind actualizarea Politicii de Confidențialitate a Confederația Patronală Concordia -(versiune actualizată – februarie 2026) </t>
  </si>
  <si>
    <t>Informări</t>
  </si>
  <si>
    <t>Draft_Politica confidentialitate CPC_ varianta 17.02.2026.docx</t>
  </si>
  <si>
    <t>Verificarea conformitatii GDPR in pregatirea si desfasurarea interviurilor pentru ocuparea postului de Asistent Judiciar - Etapa III</t>
  </si>
  <si>
    <t xml:space="preserve">Verificarea conformitatii GDPR in cadrul procedurii de lucru a Procesului de Selectie a Asistentilor Judiciari în materie de GDPR -Transferul de date personale prelucrate prin CRM, catre terte parti, inclusiv clasificarea lor în funcție de sensibilitate -Etapa a III a a concursului </t>
  </si>
  <si>
    <t>Verificare conformitate GDPR in procesul de lansare licitatie "PROCEDURA COMPETITIVĂ –  Serviciu de elaborare raport de analiza cantitativa a pietei muncii din Romania"</t>
  </si>
  <si>
    <t xml:space="preserve">Raport preliminar -Verificarea respectarii Protecției Datelor cu Caracter Personal in gestionarea procesului de lansare licitatie si depunere dosare in cadrul procedurii competitive serviciu de elaborare raport de analiza cantitativa a pietei muncii din Romania  
</t>
  </si>
  <si>
    <t>MARCH 2026 - 176 working hours</t>
  </si>
  <si>
    <t>Monitorizarea implementarii evenimentului "Conferinta de presa - Lansarea Raportului macro Concordia" din punct de vedere GDPR</t>
  </si>
  <si>
    <t xml:space="preserve">Raport preliminar -Verificarea conformității cu Regulamentul (UE) 2016/679 (GDPR) 
în contextul organizării evenimentului"Conferinta de presa - Lansarea Raportului macro Concordia"  </t>
  </si>
  <si>
    <t>Verificarea conformitatii GDPR in preluarea, analiza, salvarea documentelor primite pentru candidatura la postul de Asistent Judiciar: dosarul Tr Arges catre CES</t>
  </si>
  <si>
    <t xml:space="preserve">Raport preliminar -Validarea procedurii de lucru a Procesului de Selectie a Asistentilor Judiciari în materie de GDPR -Vacantarea postului de Asistent Judiciar la tribunalul Bucuresti </t>
  </si>
  <si>
    <t>Elaborare Chestionare de monitorizare GT - entitati</t>
  </si>
  <si>
    <t>Roxana I</t>
  </si>
  <si>
    <t>MOM Dezvoltarea chestionarelor de monitorizare GT – entități, în vederea validării ulterioare din perspectiva protecției datelor</t>
  </si>
  <si>
    <t>Verificarea respectarii GDPR in cadrul intalnirilor online din luna FEBRUARIE 2026</t>
  </si>
  <si>
    <t xml:space="preserve">Raport preliminar -Verificarea respectarii protectiei datelor cu caracter personal conform GDPR in cadrul intalnirilor online din cadrul Confederatiei Patronala Concordia -Februarie 2026 </t>
  </si>
  <si>
    <t>Verificarea respectarii GDPR in cadrul procesului de organizare a evenimentelor Concordia in Business HUB - luna februarie 2026 - RP cu AE - redactare document</t>
  </si>
  <si>
    <t>RAPORT PRELIMINAR -Privind trecerea în revistă a evenimentelor desfășurate în Business HUB în luna februarie 2026 – Protecția datelor cu caracter personal</t>
  </si>
  <si>
    <t xml:space="preserve">Verificarea respectarii GDPR in cadrul facturarii ref. la serviciu organizare eveniment anual Centru Regional 1 la pachet/simultan cu campanii de promovare pe diverse canale media (tranșa 1 pentru Eveniment 1) cf. contract nr. 28 /19.12.2025 </t>
  </si>
  <si>
    <t>Raport preliminar -Verificarea conformității GDPR în gestionarea procesului de facturare ref. la serviciu organizare eveniment anual Centru Regional 1 la pachet/simultan cu campanii de promovare pe diverse canale media (tranșa 1 pentru Eveniment 1) cf. contract nr. 28 /19.12.2025  -Prestator: GODMOTHER SRL</t>
  </si>
  <si>
    <t>Verificarea respectarii procedurii GDPR in publicarea comunicatelor media, anunturilor, documentelor de pozitie, stirilor, evenimentelor din luna FEBRUARIE 2026</t>
  </si>
  <si>
    <t>Raport preliminar -Verificarea respectarii GDPR in cadrul procesului de publicare online a comunicatelor media, anunturilor, documentelor de pozitie, stirilor, evenimentelor – luna FEB 2026</t>
  </si>
  <si>
    <t>Verificarea conformitatii GDPR in procesul de relansare licitatie " Serviciu de elaborare raport de analiza cantitativa a pietei muncii din Romania"</t>
  </si>
  <si>
    <t xml:space="preserve">Raport preliminar -Verificarea respectarii Protecției Datelor cu Caracter Personal in gestionarea procesului de relansare licitatie si depunere dosare in cadrul procedurii competitive “Serviciu de elaborare raport de analiza cantitativa a pietei muncii din Romania“ </t>
  </si>
  <si>
    <t>Intalnire cu expert RGT - detalii privind chestionarele de monitorizare GT - entitati</t>
  </si>
  <si>
    <t>Minuta ședinței Detalii GDPR privind chestionarele de monitorizare GT - entitati</t>
  </si>
  <si>
    <t>RP_Privind verificarea conformității activităților de monitorizare a activităților grupului țintă – FEB 2026</t>
  </si>
  <si>
    <t xml:space="preserve">RAPORT DE VERIFICARE GDPR -Privind verificarea conformității activităților de monitorizare a activităților grupului țintă – februarie 2026 </t>
  </si>
  <si>
    <t>Roundtable Federatii CP Concordia, luna martie 2026</t>
  </si>
  <si>
    <t>Bianca T, Roxana I</t>
  </si>
  <si>
    <t xml:space="preserve">Masa rotundă federațiile membre Concordia – aliniere și validare priorități de afaceri publice pentru martie – aprilie 2026 </t>
  </si>
  <si>
    <t>Verificarea Elaborare Chestionare de monitorizare GT - entitati din punct de vedere GDPR</t>
  </si>
  <si>
    <t>RAPORT DE VERIFICARE GDPR  de instrumente de monitorizare destinate entităților din grupul țintă.</t>
  </si>
  <si>
    <t>APRIL 2026 - 160 working hours</t>
  </si>
  <si>
    <t>Verificarea respectarii GDPR in cadrul intalnirilor online din luna martie 2026</t>
  </si>
  <si>
    <t>Raport preliminar /Verificarea respectarii protectiei datelor cu caracter personal conform GDPR in cadrul intalnirilor online din cadrul Confederatiei Patronala Concordia</t>
  </si>
  <si>
    <t>Verificarea respectarii GDPR in cadrul procesului de organizare a evenimentelor Concordia in Business HUB - luna martie 2026 - RP cu AE - redactare document</t>
  </si>
  <si>
    <t xml:space="preserve">RAPORT PRELIMINAR /Privind trecerea în revistă a evenimentelor desfășurate în Business HUB în luna martie 2026 – Protecția datelor cu caracter personal </t>
  </si>
  <si>
    <t>Roundtable Federatii CP Concordia, luna aprilie 2026 - confirmat cu Bianca</t>
  </si>
  <si>
    <t>Roxana I, Bianca T</t>
  </si>
  <si>
    <t xml:space="preserve">Ședință: Masa rotundă federațiile membre Concordia – aliniere și validare priorități de afaceri publice pentru aprilie 2026  </t>
  </si>
  <si>
    <t>RP_Privind verificarea conformității activităților de monitorizare a grupului țintă – martie 2026 - data agreata cu Rox si Alex E</t>
  </si>
  <si>
    <t>Roxana I, Alexandru E</t>
  </si>
  <si>
    <t xml:space="preserve">RAPORT DE VERIFICARE GDPR /Privind verificarea conformității activităților de monitorizare a activităților grupului țintă – martie 2026 </t>
  </si>
  <si>
    <t>Minuta întâlnirii de lucru Status implementare PEO 15.04.2026</t>
  </si>
  <si>
    <t>MINUTA ÎNTÂLNIRII DE LUCRUSTATUS IMPLEMENTARE PEO 15.04.2026</t>
  </si>
  <si>
    <t>Roundtable Federatii CP Concordia, luna aprilie 2026 -confirmat cu Bianca si Roxana</t>
  </si>
  <si>
    <t xml:space="preserve">Masa rotundă federațiile membre Concordia – aliniere și validare priorități de afaceri publice pentru aprilie 2026/ Data: 20.04.2026 </t>
  </si>
  <si>
    <t>Verificarea respectarii procedurii GDPR in publicarea comunicatelor media, anunturilor, documentelor de pozitie, stirilor, evenimentelor din luna martie 2026</t>
  </si>
  <si>
    <t>SimonaK</t>
  </si>
  <si>
    <t xml:space="preserve">Raport preliminar /Verificarea respectarii GDPR in cadrul procesului de publicare online a comunicatelor media, anunturilor, documentelor de pozitie, stirilor, evenimentelor – luna MAR 2026 </t>
  </si>
  <si>
    <t>Elaborarea unui formular GDPR care se va introduce in procedurile competitive alaturi de restul formularelor</t>
  </si>
  <si>
    <t>Raport preliminar /Elaborarea unui formular GDPR ce va fi completat de catre ofertantii licitatiilor</t>
  </si>
  <si>
    <t xml:space="preserve">Declarație privind protecția și prelucrarea datelor cu caracter personal </t>
  </si>
  <si>
    <t>Verificarea conformitatii GDPR in procesul de lansare licitatie "Serviciu de elaborare raport privind timpul de lucru si flexibilitatea muncii"</t>
  </si>
  <si>
    <t xml:space="preserve">Raport preliminar /Verificarea respectarii Protecției Datelor cu Caracter Personal in gestionarea procesului de lansare licitatiei “Serviciu de elaborare raport privind timpul de lucru si flexibilizarea muncii” si depunere dosare in cadrul procedurii competitive serviciu de elaborare raport de analiza cantitativa a pietei muncii din Romania  </t>
  </si>
  <si>
    <t>Verificarea conformitatii GDPR in procesul de evaluare a ofertelor depuse si incheierea contractului in urma licitatiei " Serviciu de elaborare raport de analiza cantitativa a pietei muncii din Romania"</t>
  </si>
  <si>
    <t xml:space="preserve">Raport preliminar /Verificarea respectarii protecției datelor cu caracter personal in gestionarea procesului evaluare a ofertelor și a rezultatelor licitației relansate 
Proiect: Serviciu de elaborare raport de analiza cantitativa a pietei muncii din Romania </t>
  </si>
  <si>
    <t>Verificarea conformitatii GDPR in cadrul inscrierii in GT a FPRC</t>
  </si>
  <si>
    <t>Alexandru E, Roxana I</t>
  </si>
  <si>
    <t>Proces verbal ședință validare dosare de înscriere entități în grupul țintă 27.04.2026</t>
  </si>
  <si>
    <t>SURSE PROPRII (7 ore)</t>
  </si>
  <si>
    <t>MAY 2026 - 160 working hours</t>
  </si>
  <si>
    <t>Roundtable Federatii CP Concordia, luna mai 2026 - confirmat cu Bianca si Roxana</t>
  </si>
  <si>
    <t>Verificarea conformitatii GDPR in publicarea anuntului pentru candidatura la concursul pentru ocuparea postului de Asistent Judiciar, Tr Ilfov</t>
  </si>
  <si>
    <t>In realizare</t>
  </si>
  <si>
    <t xml:space="preserve">Raport preliminar -Verificarea respectarii protectiei datelor cu caracter personal conform GDPR în procesul de lansare și publicare a anunțului de participare la concursul pentru ocuparea funcției de asistent judiciar </t>
  </si>
  <si>
    <t>Verificarea conformitatii GDPR in procesul de evaluare a ofertelor depuse în cadrul achizițiilor PEO, ref. la serviciu de elaborare raport privind timpul de lucru și flexibilizarea muncii</t>
  </si>
  <si>
    <t xml:space="preserve">Raport preliminar - Verificarea respectarii protecției datelor cu caracter personal in gestionarea procesului evaluare a ofertelor și a rezultatelor licitației -Serviciu de elaborare raport privind timpul de lucru si flexibilitatea muncii </t>
  </si>
  <si>
    <t>Alexandru E, Simona K</t>
  </si>
  <si>
    <t xml:space="preserve">RAPORT PRELIMINAR -Privind trecerea în revistă a evenimentelor desfășurate în Business HUB în luna aprilie 2026 – Protecția datelor cu caracter personal  </t>
  </si>
  <si>
    <t>Verificarea respectarii procedurii GDPR in publicarea licitatiei - Servicii pentru organizare cursuri formare-instruire denumite "Concordia Learning HUB"  pe tematici aplicate</t>
  </si>
  <si>
    <t xml:space="preserve">Raport preliminar -Verificarea respectarii Protecției Datelor cu Caracter Personal in gestionarea procesului de lansare licitatiei - Servicii pentru organizare cursuri formare-instruire denumite "Concordia Learning HUB" pe tematici applicate (formare profesionala non-formala) </t>
  </si>
  <si>
    <t>RP_Privind verificarea conformității activităților de monitorizare a grupului țintă – aprilie 2026 - data agreata cu Rox si Alex E</t>
  </si>
  <si>
    <t>Roxana I, Alexandru E., Simona K</t>
  </si>
  <si>
    <t xml:space="preserve">RAPORT DE VERIFICARE GDPR -Privind verificarea conformității activităților de monitorizare a activităților grupului țintă – aprilie 2026 </t>
  </si>
  <si>
    <t>Verificarea respectarii GDPR in cadrul intalnirilor online din luna aprilie 2026</t>
  </si>
  <si>
    <t xml:space="preserve">Raport preliminar /Verificarea respectarii protectiei datelor cu caracter personal conform GDPR in cadrul intalnirilor online din cadrul Confederatiei Patronala Concordia _Aprilie 2026 </t>
  </si>
  <si>
    <t>Verificarea conformitatii GDPR in procesul de lansare licitatie "Serviciu de elaborare studiu strategic privind pozitionarea Romaniei fata de viitorul Fond European de Competitivitate (ECF)</t>
  </si>
  <si>
    <t xml:space="preserve">Raport preliminar -Verificarea respectarii Protecției Datelor cu Caracter Personal in gestionarea procesului de lansare licitatiei - "Serviciu de elaborare studiu strategic privind pozitionarea Romaniei fata de viitorul Fond European de Competitivitate (ECF) </t>
  </si>
  <si>
    <t>Verificarea respectarii procedurii GDPR in publicarea comunicatelor media, anunturilor, documentelor de pozitie, stirilor, evenimentelor din luna aprilie 2026</t>
  </si>
  <si>
    <t xml:space="preserve">Raport preliminar -Verificarea respectarii GDPR in cadrul procesului de publicare online a comunicatelor media, anunturilor, documentelor de pozitie, opinii – luna APRILIE 2026 </t>
  </si>
  <si>
    <t>Verificarea conformitatii GDPR in procesul de contractare în cadrul achizițiilor PEO, ref. la serviciu de elaborare raport privind timpul de lucru și flexibilizarea muncii</t>
  </si>
  <si>
    <t xml:space="preserve">Raport preliminar -Verificarea conformitatii GDPR in incheierea contractului în cadrul achizițiilor PEO, ref. la serviciu de elaborare raport privind timpul de lucru și flexibilizarea muncii </t>
  </si>
  <si>
    <t xml:space="preserve">Ședință: Masa rotundă federațiile membre Concordia – aliniere și validare priorități de afaceri publice pentru mai 2026-Data: 18.05.2026 </t>
  </si>
  <si>
    <t>echipa CPC</t>
  </si>
  <si>
    <t>Verificarea conformitatii GDPR in preluarea, analiza, salvarea documentelor primite pentru candidatura la postul de Asistent Judiciar: Tr Ilfov si transmiterea rezultatelor Etapei I</t>
  </si>
  <si>
    <t xml:space="preserve">Raport Preliminar-Verificarea respectarii GDPR in cadrul intocmirii dosarelor candidatilor - Etapa I - pentru concursul de ocupare a postului de Asistent Judiciar la Tribunalul Ilfov si transmiterea rezultatelor Etapei I </t>
  </si>
  <si>
    <t>Verificarea conformitatii GDPR  in transmiterea mailurilor cu rezultatele concursului AJ - Tribunalul Ilfov si a raspunsurilor la solicitarile de clarificare de la candidati, in urma comunicarii rezultatelor.</t>
  </si>
  <si>
    <t xml:space="preserve">LIVRABIL COMUN </t>
  </si>
  <si>
    <t xml:space="preserve">STADIU LIVRABIL </t>
  </si>
  <si>
    <t xml:space="preserve">Tip LIVRABIL </t>
  </si>
  <si>
    <t>Studii</t>
  </si>
  <si>
    <t>Analize</t>
  </si>
  <si>
    <t>Strategii</t>
  </si>
  <si>
    <t>Curricula</t>
  </si>
  <si>
    <t>Ghiduri</t>
  </si>
  <si>
    <t>Platforme</t>
  </si>
  <si>
    <t>Manuale</t>
  </si>
  <si>
    <t>Documente de poziție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</si>
</sst>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409]mmmm\-yy;@"/>
    <numFmt numFmtId="166" formatCode="[$-418]d\ mmmm\ yyyy;@"/>
  </numFmts>
  <fonts count="33">
    <font>
      <sz val="11"/>
      <color theme="1"/>
      <name val="Calibri"/>
      <family val="2"/>
      <scheme val="minor"/>
    </font>
    <font>
      <sz val="11"/>
      <color theme="1"/>
      <name val="Calibri"/>
      <family val="2"/>
      <scheme val="minor"/>
    </font>
    <font>
      <b/>
      <sz val="10"/>
      <color theme="0"/>
      <name val="Arial"/>
      <family val="2"/>
    </font>
    <font>
      <sz val="8"/>
      <name val="Arial"/>
      <family val="2"/>
    </font>
    <font>
      <b/>
      <sz val="11"/>
      <name val="Calibri"/>
      <family val="2"/>
      <scheme val="minor"/>
    </font>
    <font>
      <sz val="10"/>
      <color theme="1"/>
      <name val="Calibri"/>
      <family val="2"/>
      <scheme val="minor"/>
    </font>
    <font>
      <b/>
      <sz val="10"/>
      <color theme="1"/>
      <name val="Calibri"/>
      <family val="2"/>
      <scheme val="minor"/>
    </font>
    <font>
      <sz val="10"/>
      <name val="Calibri"/>
      <family val="2"/>
      <scheme val="minor"/>
    </font>
    <font>
      <b/>
      <sz val="10"/>
      <name val="Calibri"/>
      <family val="2"/>
      <scheme val="minor"/>
    </font>
    <font>
      <b/>
      <i/>
      <sz val="10"/>
      <name val="Calibri"/>
      <family val="2"/>
      <scheme val="minor"/>
    </font>
    <font>
      <b/>
      <sz val="12"/>
      <name val="Calibri"/>
      <family val="2"/>
      <scheme val="minor"/>
    </font>
    <font>
      <sz val="8"/>
      <name val="Calibri"/>
      <family val="2"/>
      <scheme val="minor"/>
    </font>
    <font>
      <b/>
      <sz val="11"/>
      <color theme="1"/>
      <name val="Calibri"/>
      <family val="2"/>
      <scheme val="minor"/>
    </font>
    <font>
      <u/>
      <sz val="11"/>
      <color theme="10"/>
      <name val="Calibri"/>
      <family val="2"/>
      <scheme val="minor"/>
    </font>
    <font>
      <sz val="11"/>
      <color rgb="FF000000"/>
      <name val="Calibri"/>
      <family val="2"/>
      <scheme val="minor"/>
    </font>
    <font>
      <sz val="11"/>
      <color rgb="FF242424"/>
      <name val="Calibri"/>
      <family val="2"/>
      <scheme val="minor"/>
    </font>
    <font>
      <sz val="10"/>
      <name val="Calibri"/>
      <family val="2"/>
    </font>
    <font>
      <b/>
      <sz val="11"/>
      <color rgb="FF000000"/>
      <name val="Calibri"/>
      <family val="2"/>
      <scheme val="minor"/>
    </font>
    <font>
      <b/>
      <sz val="10"/>
      <color rgb="FF000000"/>
      <name val="Calibri"/>
      <family val="2"/>
      <scheme val="minor"/>
    </font>
    <font>
      <u/>
      <sz val="11"/>
      <name val="Calibri"/>
      <family val="2"/>
      <scheme val="minor"/>
    </font>
    <font>
      <u/>
      <sz val="10"/>
      <name val="Calibri"/>
      <family val="2"/>
      <scheme val="minor"/>
    </font>
    <font>
      <sz val="11"/>
      <color rgb="FF242424"/>
      <name val="Aptos Narrow"/>
      <family val="2"/>
    </font>
    <font>
      <sz val="11"/>
      <name val="Calibri"/>
      <family val="2"/>
      <scheme val="minor"/>
    </font>
    <font>
      <b/>
      <sz val="10"/>
      <color theme="0"/>
      <name val="Calibri"/>
      <family val="2"/>
      <scheme val="minor"/>
    </font>
    <font>
      <sz val="11"/>
      <color rgb="FFFF0000"/>
      <name val="Calibri"/>
      <family val="2"/>
      <scheme val="minor"/>
    </font>
    <font>
      <sz val="10"/>
      <color rgb="FF000000"/>
      <name val="Calibri"/>
      <family val="2"/>
      <scheme val="minor"/>
    </font>
    <font>
      <sz val="11"/>
      <color rgb="FF000000"/>
      <name val="Calibri"/>
      <family val="2"/>
    </font>
    <font>
      <sz val="11"/>
      <color rgb="FFFF0000"/>
      <name val="Calibri"/>
      <family val="2"/>
    </font>
    <font>
      <sz val="11"/>
      <name val="Calibri"/>
      <family val="2"/>
    </font>
    <font>
      <b/>
      <sz val="11"/>
      <color rgb="FF242424"/>
      <name val="Calibri"/>
      <family val="2"/>
      <scheme val="minor"/>
    </font>
    <font>
      <sz val="11"/>
      <color theme="1"/>
      <name val="Calibri"/>
      <family val="2"/>
      <scheme val="minor"/>
    </font>
    <font>
      <sz val="11"/>
      <color rgb="FFFF0000"/>
      <name val="Aptos Narrow"/>
      <family val="2"/>
    </font>
    <font>
      <b/>
      <sz val="11"/>
      <color rgb="FF242424"/>
      <name val="Aptos Narrow"/>
      <family val="2"/>
    </font>
  </fonts>
  <fills count="19">
    <fill>
      <patternFill patternType="none"/>
    </fill>
    <fill>
      <patternFill patternType="gray125"/>
    </fill>
    <fill>
      <patternFill patternType="solid">
        <fgColor theme="0" tint="-0.14999847407452621"/>
        <bgColor indexed="64"/>
      </patternFill>
    </fill>
    <fill>
      <patternFill patternType="solid">
        <fgColor rgb="FF3C7D5E"/>
        <bgColor indexed="64"/>
      </patternFill>
    </fill>
    <fill>
      <patternFill patternType="solid">
        <fgColor rgb="FFB6DCD2"/>
        <bgColor indexed="64"/>
      </patternFill>
    </fill>
    <fill>
      <patternFill patternType="solid">
        <fgColor theme="7" tint="0.79998168889431442"/>
        <bgColor indexed="64"/>
      </patternFill>
    </fill>
    <fill>
      <patternFill patternType="solid">
        <fgColor rgb="FFFFCC66"/>
        <bgColor indexed="64"/>
      </patternFill>
    </fill>
    <fill>
      <patternFill patternType="solid">
        <fgColor rgb="FFB1E0FD"/>
        <bgColor indexed="64"/>
      </patternFill>
    </fill>
    <fill>
      <patternFill patternType="solid">
        <fgColor theme="4" tint="-0.249977111117893"/>
        <bgColor indexed="64"/>
      </patternFill>
    </fill>
    <fill>
      <patternFill patternType="solid">
        <fgColor rgb="FF92D050"/>
        <bgColor indexed="64"/>
      </patternFill>
    </fill>
    <fill>
      <patternFill patternType="solid">
        <fgColor theme="4"/>
        <bgColor theme="4"/>
      </patternFill>
    </fill>
    <fill>
      <patternFill patternType="solid">
        <fgColor rgb="FFF06EF0"/>
        <bgColor indexed="64"/>
      </patternFill>
    </fill>
    <fill>
      <patternFill patternType="solid">
        <fgColor rgb="FFFFFF00"/>
        <bgColor indexed="64"/>
      </patternFill>
    </fill>
    <fill>
      <patternFill patternType="mediumGray"/>
    </fill>
    <fill>
      <patternFill patternType="solid">
        <fgColor theme="9" tint="0.79998168889431442"/>
        <bgColor indexed="64"/>
      </patternFill>
    </fill>
    <fill>
      <patternFill patternType="solid">
        <fgColor rgb="FFFF0000"/>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rgb="FFFF00FF"/>
        <bgColor indexed="64"/>
      </patternFill>
    </fill>
  </fills>
  <borders count="98">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right/>
      <top style="medium">
        <color indexed="64"/>
      </top>
      <bottom style="medium">
        <color indexed="64"/>
      </bottom>
      <diagonal/>
    </border>
    <border>
      <left style="thin">
        <color auto="1"/>
      </left>
      <right style="thin">
        <color auto="1"/>
      </right>
      <top style="thin">
        <color auto="1"/>
      </top>
      <bottom style="thin">
        <color auto="1"/>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style="medium">
        <color indexed="64"/>
      </left>
      <right style="medium">
        <color indexed="64"/>
      </right>
      <top/>
      <bottom/>
      <diagonal/>
    </border>
    <border>
      <left style="thin">
        <color auto="1"/>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right/>
      <top style="medium">
        <color indexed="64"/>
      </top>
      <bottom/>
      <diagonal/>
    </border>
    <border>
      <left style="medium">
        <color auto="1"/>
      </left>
      <right style="thin">
        <color auto="1"/>
      </right>
      <top style="medium">
        <color indexed="64"/>
      </top>
      <bottom style="medium">
        <color indexed="64"/>
      </bottom>
      <diagonal/>
    </border>
    <border>
      <left style="medium">
        <color indexed="64"/>
      </left>
      <right style="medium">
        <color indexed="64"/>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indexed="64"/>
      </right>
      <top style="thin">
        <color indexed="64"/>
      </top>
      <bottom style="medium">
        <color indexed="64"/>
      </bottom>
      <diagonal/>
    </border>
    <border>
      <left style="medium">
        <color indexed="64"/>
      </left>
      <right/>
      <top style="medium">
        <color indexed="64"/>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indexed="64"/>
      </left>
      <right style="thin">
        <color auto="1"/>
      </right>
      <top style="thin">
        <color auto="1"/>
      </top>
      <bottom style="thin">
        <color auto="1"/>
      </bottom>
      <diagonal/>
    </border>
    <border>
      <left style="thin">
        <color auto="1"/>
      </left>
      <right/>
      <top style="thin">
        <color auto="1"/>
      </top>
      <bottom style="thin">
        <color auto="1"/>
      </bottom>
      <diagonal/>
    </border>
    <border>
      <left style="medium">
        <color indexed="64"/>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indexed="64"/>
      </left>
      <right/>
      <top style="thin">
        <color auto="1"/>
      </top>
      <bottom style="medium">
        <color indexed="64"/>
      </bottom>
      <diagonal/>
    </border>
    <border>
      <left/>
      <right/>
      <top style="thin">
        <color auto="1"/>
      </top>
      <bottom style="medium">
        <color auto="1"/>
      </bottom>
      <diagonal/>
    </border>
    <border>
      <left style="thin">
        <color auto="1"/>
      </left>
      <right style="medium">
        <color indexed="64"/>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medium">
        <color indexed="64"/>
      </left>
      <right/>
      <top style="thin">
        <color auto="1"/>
      </top>
      <bottom/>
      <diagonal/>
    </border>
    <border>
      <left/>
      <right style="medium">
        <color auto="1"/>
      </right>
      <top style="thin">
        <color auto="1"/>
      </top>
      <bottom/>
      <diagonal/>
    </border>
    <border>
      <left/>
      <right style="thin">
        <color auto="1"/>
      </right>
      <top style="medium">
        <color indexed="64"/>
      </top>
      <bottom style="thin">
        <color indexed="64"/>
      </bottom>
      <diagonal/>
    </border>
    <border>
      <left/>
      <right style="medium">
        <color indexed="64"/>
      </right>
      <top/>
      <bottom style="thin">
        <color indexed="64"/>
      </bottom>
      <diagonal/>
    </border>
    <border>
      <left/>
      <right/>
      <top/>
      <bottom style="thin">
        <color auto="1"/>
      </bottom>
      <diagonal/>
    </border>
    <border>
      <left/>
      <right/>
      <top style="thin">
        <color auto="1"/>
      </top>
      <bottom/>
      <diagonal/>
    </border>
    <border>
      <left style="medium">
        <color indexed="64"/>
      </left>
      <right/>
      <top/>
      <bottom style="thin">
        <color indexed="64"/>
      </bottom>
      <diagonal/>
    </border>
    <border>
      <left/>
      <right style="thin">
        <color indexed="64"/>
      </right>
      <top style="thin">
        <color auto="1"/>
      </top>
      <bottom style="medium">
        <color auto="1"/>
      </bottom>
      <diagonal/>
    </border>
    <border>
      <left style="medium">
        <color rgb="FF000000"/>
      </left>
      <right style="medium">
        <color rgb="FF000000"/>
      </right>
      <top style="medium">
        <color rgb="FF000000"/>
      </top>
      <bottom style="thin">
        <color auto="1"/>
      </bottom>
      <diagonal/>
    </border>
    <border>
      <left style="medium">
        <color rgb="FF000000"/>
      </left>
      <right style="medium">
        <color rgb="FF000000"/>
      </right>
      <top style="thin">
        <color indexed="64"/>
      </top>
      <bottom style="thin">
        <color indexed="64"/>
      </bottom>
      <diagonal/>
    </border>
    <border>
      <left style="medium">
        <color rgb="FF000000"/>
      </left>
      <right style="medium">
        <color rgb="FF000000"/>
      </right>
      <top style="thin">
        <color indexed="64"/>
      </top>
      <bottom style="medium">
        <color rgb="FF000000"/>
      </bottom>
      <diagonal/>
    </border>
    <border>
      <left/>
      <right style="medium">
        <color indexed="64"/>
      </right>
      <top style="thin">
        <color indexed="64"/>
      </top>
      <bottom style="medium">
        <color indexed="64"/>
      </bottom>
      <diagonal/>
    </border>
    <border>
      <left style="medium">
        <color rgb="FF000000"/>
      </left>
      <right/>
      <top style="medium">
        <color rgb="FF000000"/>
      </top>
      <bottom/>
      <diagonal/>
    </border>
    <border>
      <left style="thin">
        <color auto="1"/>
      </left>
      <right/>
      <top style="medium">
        <color indexed="64"/>
      </top>
      <bottom style="thin">
        <color auto="1"/>
      </bottom>
      <diagonal/>
    </border>
    <border>
      <left style="thin">
        <color auto="1"/>
      </left>
      <right/>
      <top style="thin">
        <color auto="1"/>
      </top>
      <bottom style="medium">
        <color indexed="64"/>
      </bottom>
      <diagonal/>
    </border>
    <border>
      <left style="medium">
        <color indexed="64"/>
      </left>
      <right/>
      <top style="medium">
        <color rgb="FF000000"/>
      </top>
      <bottom/>
      <diagonal/>
    </border>
    <border>
      <left style="medium">
        <color indexed="64"/>
      </left>
      <right style="medium">
        <color rgb="FF000000"/>
      </right>
      <top style="medium">
        <color rgb="FF000000"/>
      </top>
      <bottom/>
      <diagonal/>
    </border>
    <border>
      <left style="thin">
        <color rgb="FF000000"/>
      </left>
      <right/>
      <top style="thin">
        <color rgb="FF000000"/>
      </top>
      <bottom style="thin">
        <color rgb="FF000000"/>
      </bottom>
      <diagonal/>
    </border>
    <border>
      <left style="thin">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medium">
        <color rgb="FF000000"/>
      </right>
      <top style="thin">
        <color indexed="64"/>
      </top>
      <bottom/>
      <diagonal/>
    </border>
    <border>
      <left style="thin">
        <color rgb="FF000000"/>
      </left>
      <right style="thin">
        <color rgb="FF000000"/>
      </right>
      <top style="thin">
        <color indexed="64"/>
      </top>
      <bottom style="medium">
        <color indexed="64"/>
      </bottom>
      <diagonal/>
    </border>
    <border>
      <left style="thin">
        <color rgb="FF000000"/>
      </left>
      <right/>
      <top style="thin">
        <color indexed="64"/>
      </top>
      <bottom style="medium">
        <color indexed="64"/>
      </bottom>
      <diagonal/>
    </border>
    <border>
      <left style="medium">
        <color rgb="FF000000"/>
      </left>
      <right style="medium">
        <color rgb="FF000000"/>
      </right>
      <top style="thin">
        <color indexed="64"/>
      </top>
      <bottom style="medium">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rgb="FF000000"/>
      </left>
      <right style="medium">
        <color rgb="FF000000"/>
      </right>
      <top style="medium">
        <color rgb="FF000000"/>
      </top>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diagonal/>
    </border>
    <border>
      <left/>
      <right style="medium">
        <color rgb="FF000000"/>
      </right>
      <top/>
      <bottom style="thin">
        <color rgb="FF000000"/>
      </bottom>
      <diagonal/>
    </border>
    <border>
      <left/>
      <right style="medium">
        <color rgb="FF000000"/>
      </right>
      <top style="thin">
        <color indexed="64"/>
      </top>
      <bottom style="medium">
        <color indexed="64"/>
      </bottom>
      <diagonal/>
    </border>
    <border>
      <left style="medium">
        <color rgb="FF000000"/>
      </left>
      <right/>
      <top style="medium">
        <color indexed="64"/>
      </top>
      <bottom/>
      <diagonal/>
    </border>
    <border>
      <left style="thin">
        <color auto="1"/>
      </left>
      <right/>
      <top style="medium">
        <color indexed="64"/>
      </top>
      <bottom/>
      <diagonal/>
    </border>
    <border>
      <left style="thin">
        <color auto="1"/>
      </left>
      <right style="medium">
        <color rgb="FF000000"/>
      </right>
      <top style="medium">
        <color indexed="64"/>
      </top>
      <bottom/>
      <diagonal/>
    </border>
    <border>
      <left style="medium">
        <color rgb="FF000000"/>
      </left>
      <right/>
      <top style="thin">
        <color auto="1"/>
      </top>
      <bottom/>
      <diagonal/>
    </border>
    <border>
      <left style="thin">
        <color auto="1"/>
      </left>
      <right/>
      <top style="thin">
        <color auto="1"/>
      </top>
      <bottom/>
      <diagonal/>
    </border>
    <border>
      <left style="thin">
        <color auto="1"/>
      </left>
      <right style="medium">
        <color rgb="FF000000"/>
      </right>
      <top style="thin">
        <color auto="1"/>
      </top>
      <bottom/>
      <diagonal/>
    </border>
    <border>
      <left style="thin">
        <color auto="1"/>
      </left>
      <right/>
      <top style="thin">
        <color rgb="FF000000"/>
      </top>
      <bottom/>
      <diagonal/>
    </border>
    <border>
      <left style="thin">
        <color auto="1"/>
      </left>
      <right/>
      <top style="thin">
        <color theme="4" tint="0.39997558519241921"/>
      </top>
      <bottom/>
      <diagonal/>
    </border>
    <border>
      <left style="thin">
        <color rgb="FF000000"/>
      </left>
      <right/>
      <top style="thin">
        <color auto="1"/>
      </top>
      <bottom/>
      <diagonal/>
    </border>
    <border>
      <left style="medium">
        <color rgb="FF000000"/>
      </left>
      <right/>
      <top style="thin">
        <color auto="1"/>
      </top>
      <bottom style="medium">
        <color auto="1"/>
      </bottom>
      <diagonal/>
    </border>
    <border>
      <left style="thin">
        <color auto="1"/>
      </left>
      <right style="medium">
        <color rgb="FF000000"/>
      </right>
      <top style="thin">
        <color indexed="64"/>
      </top>
      <bottom style="medium">
        <color indexed="64"/>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style="thin">
        <color rgb="FF000000"/>
      </left>
      <right style="thin">
        <color rgb="FF000000"/>
      </right>
      <top style="thin">
        <color rgb="FF000000"/>
      </top>
      <bottom style="medium">
        <color rgb="FF000000"/>
      </bottom>
      <diagonal/>
    </border>
    <border>
      <left style="thin">
        <color auto="1"/>
      </left>
      <right style="thin">
        <color rgb="FF000000"/>
      </right>
      <top style="thin">
        <color indexed="64"/>
      </top>
      <bottom style="medium">
        <color indexed="64"/>
      </bottom>
      <diagonal/>
    </border>
    <border>
      <left style="thin">
        <color auto="1"/>
      </left>
      <right style="thin">
        <color auto="1"/>
      </right>
      <top/>
      <bottom style="medium">
        <color auto="1"/>
      </bottom>
      <diagonal/>
    </border>
  </borders>
  <cellStyleXfs count="6">
    <xf numFmtId="0" fontId="0" fillId="0" borderId="0"/>
    <xf numFmtId="0" fontId="2" fillId="3" borderId="7" applyNumberFormat="0" applyFont="0" applyAlignment="0"/>
    <xf numFmtId="0" fontId="3" fillId="4" borderId="7" applyNumberFormat="0" applyFont="0" applyBorder="0" applyAlignment="0">
      <alignment horizontal="right"/>
    </xf>
    <xf numFmtId="0" fontId="13" fillId="0" borderId="0" applyNumberFormat="0" applyFill="0" applyBorder="0" applyAlignment="0" applyProtection="0"/>
    <xf numFmtId="0" fontId="13" fillId="0" borderId="0" applyNumberFormat="0" applyFill="0" applyBorder="0" applyAlignment="0" applyProtection="0"/>
    <xf numFmtId="164" fontId="30" fillId="0" borderId="0" applyFont="0" applyFill="0" applyBorder="0" applyAlignment="0" applyProtection="0"/>
  </cellStyleXfs>
  <cellXfs count="582">
    <xf numFmtId="0" fontId="0" fillId="0" borderId="0" xfId="0"/>
    <xf numFmtId="0" fontId="5" fillId="0" borderId="0" xfId="0" applyFont="1" applyProtection="1">
      <protection locked="0"/>
    </xf>
    <xf numFmtId="0" fontId="5" fillId="0" borderId="0" xfId="0" applyFont="1" applyAlignment="1" applyProtection="1">
      <alignment horizontal="center"/>
      <protection locked="0"/>
    </xf>
    <xf numFmtId="0" fontId="5" fillId="0" borderId="0" xfId="0" applyFont="1" applyAlignment="1" applyProtection="1">
      <alignment vertical="center"/>
      <protection locked="0"/>
    </xf>
    <xf numFmtId="0" fontId="5" fillId="0" borderId="0" xfId="0" applyFont="1" applyAlignment="1" applyProtection="1">
      <alignment horizontal="right"/>
      <protection locked="0"/>
    </xf>
    <xf numFmtId="166" fontId="5" fillId="0" borderId="0" xfId="0" applyNumberFormat="1" applyFont="1" applyAlignment="1" applyProtection="1">
      <alignment horizontal="center" vertical="center"/>
      <protection locked="0"/>
    </xf>
    <xf numFmtId="0" fontId="5" fillId="0" borderId="0" xfId="0" applyFont="1" applyAlignment="1" applyProtection="1">
      <alignment horizontal="center" vertical="center" wrapText="1"/>
      <protection locked="0"/>
    </xf>
    <xf numFmtId="0" fontId="12" fillId="2" borderId="0" xfId="0" applyFont="1" applyFill="1" applyAlignment="1">
      <alignment vertical="center" wrapText="1"/>
    </xf>
    <xf numFmtId="0" fontId="12" fillId="0" borderId="0" xfId="0" applyFont="1" applyAlignment="1">
      <alignment vertical="center" wrapText="1"/>
    </xf>
    <xf numFmtId="0" fontId="0" fillId="0" borderId="0" xfId="0" applyAlignment="1">
      <alignment vertical="center" wrapText="1"/>
    </xf>
    <xf numFmtId="0" fontId="5" fillId="0" borderId="17" xfId="0" applyFont="1" applyBorder="1" applyProtection="1">
      <protection locked="0"/>
    </xf>
    <xf numFmtId="0" fontId="5" fillId="0" borderId="22" xfId="0" applyFont="1" applyBorder="1" applyProtection="1">
      <protection locked="0"/>
    </xf>
    <xf numFmtId="0" fontId="5" fillId="0" borderId="22" xfId="0" applyFont="1" applyBorder="1" applyAlignment="1" applyProtection="1">
      <alignment horizontal="right"/>
      <protection locked="0"/>
    </xf>
    <xf numFmtId="0" fontId="5" fillId="0" borderId="22" xfId="0" applyFont="1" applyBorder="1" applyAlignment="1" applyProtection="1">
      <alignment horizontal="center"/>
      <protection locked="0"/>
    </xf>
    <xf numFmtId="0" fontId="5" fillId="0" borderId="20" xfId="0" applyFont="1" applyBorder="1" applyProtection="1">
      <protection locked="0"/>
    </xf>
    <xf numFmtId="0" fontId="5" fillId="0" borderId="2" xfId="0" applyFont="1" applyBorder="1" applyProtection="1">
      <protection locked="0"/>
    </xf>
    <xf numFmtId="0" fontId="5" fillId="0" borderId="19" xfId="0" applyFont="1" applyBorder="1" applyProtection="1">
      <protection locked="0"/>
    </xf>
    <xf numFmtId="0" fontId="5" fillId="0" borderId="0" xfId="0" applyFont="1" applyAlignment="1" applyProtection="1">
      <alignment horizontal="center" vertical="center"/>
      <protection locked="0"/>
    </xf>
    <xf numFmtId="0" fontId="5" fillId="0" borderId="0" xfId="0" applyFont="1" applyAlignment="1" applyProtection="1">
      <alignment wrapText="1"/>
      <protection locked="0"/>
    </xf>
    <xf numFmtId="0" fontId="8" fillId="2" borderId="17" xfId="0" applyFont="1" applyFill="1" applyBorder="1" applyAlignment="1" applyProtection="1">
      <alignment horizontal="right"/>
      <protection locked="0"/>
    </xf>
    <xf numFmtId="0" fontId="7" fillId="6" borderId="1" xfId="0" applyFont="1" applyFill="1" applyBorder="1" applyProtection="1">
      <protection locked="0"/>
    </xf>
    <xf numFmtId="0" fontId="8" fillId="2" borderId="2" xfId="0" applyFont="1" applyFill="1" applyBorder="1" applyAlignment="1" applyProtection="1">
      <alignment horizontal="right"/>
      <protection locked="0"/>
    </xf>
    <xf numFmtId="0" fontId="7" fillId="7" borderId="1" xfId="0" applyFont="1" applyFill="1" applyBorder="1" applyProtection="1">
      <protection locked="0"/>
    </xf>
    <xf numFmtId="0" fontId="8" fillId="0" borderId="1" xfId="0" applyFont="1" applyBorder="1" applyAlignment="1" applyProtection="1">
      <alignment horizontal="center" vertical="center"/>
      <protection locked="0"/>
    </xf>
    <xf numFmtId="0" fontId="8" fillId="2" borderId="18" xfId="0" applyFont="1" applyFill="1" applyBorder="1" applyAlignment="1" applyProtection="1">
      <alignment horizontal="right"/>
      <protection locked="0"/>
    </xf>
    <xf numFmtId="0" fontId="6" fillId="9" borderId="1" xfId="0" applyFont="1" applyFill="1" applyBorder="1" applyAlignment="1" applyProtection="1">
      <alignment horizontal="center"/>
      <protection locked="0"/>
    </xf>
    <xf numFmtId="0" fontId="8" fillId="0" borderId="0" xfId="0" applyFont="1" applyAlignment="1" applyProtection="1">
      <alignment horizontal="right"/>
      <protection locked="0"/>
    </xf>
    <xf numFmtId="0" fontId="6" fillId="0" borderId="22" xfId="0" applyFont="1" applyBorder="1" applyAlignment="1" applyProtection="1">
      <alignment horizontal="center"/>
      <protection locked="0"/>
    </xf>
    <xf numFmtId="0" fontId="8" fillId="0" borderId="0" xfId="0" applyFont="1" applyAlignment="1" applyProtection="1">
      <alignment horizontal="center"/>
      <protection locked="0"/>
    </xf>
    <xf numFmtId="0" fontId="8" fillId="8" borderId="0" xfId="0" applyFont="1" applyFill="1" applyAlignment="1" applyProtection="1">
      <alignment horizontal="center"/>
      <protection locked="0"/>
    </xf>
    <xf numFmtId="0" fontId="8" fillId="0" borderId="1" xfId="0" applyFont="1" applyBorder="1" applyAlignment="1" applyProtection="1">
      <alignment horizontal="right" vertical="center"/>
      <protection locked="0"/>
    </xf>
    <xf numFmtId="0" fontId="8" fillId="7" borderId="11" xfId="0" applyFont="1" applyFill="1" applyBorder="1" applyAlignment="1" applyProtection="1">
      <alignment horizontal="center" vertical="center"/>
      <protection locked="0"/>
    </xf>
    <xf numFmtId="0" fontId="8" fillId="5" borderId="1" xfId="2" applyFont="1" applyFill="1" applyBorder="1" applyAlignment="1" applyProtection="1">
      <alignment horizontal="right" vertical="center"/>
      <protection locked="0"/>
    </xf>
    <xf numFmtId="165" fontId="8" fillId="7" borderId="10" xfId="2" applyNumberFormat="1" applyFont="1" applyFill="1" applyBorder="1" applyAlignment="1" applyProtection="1">
      <alignment horizontal="center" vertical="center"/>
      <protection locked="0"/>
    </xf>
    <xf numFmtId="165" fontId="8" fillId="0" borderId="10" xfId="2" applyNumberFormat="1" applyFont="1" applyFill="1" applyBorder="1" applyAlignment="1" applyProtection="1">
      <alignment horizontal="center" vertical="center"/>
      <protection locked="0"/>
    </xf>
    <xf numFmtId="0" fontId="9" fillId="0" borderId="24" xfId="0" applyFont="1" applyBorder="1" applyAlignment="1" applyProtection="1">
      <alignment horizontal="left" vertical="center" wrapText="1"/>
      <protection locked="0"/>
    </xf>
    <xf numFmtId="0" fontId="9" fillId="5" borderId="1" xfId="0" applyFont="1" applyFill="1" applyBorder="1" applyAlignment="1" applyProtection="1">
      <alignment vertical="center"/>
      <protection locked="0"/>
    </xf>
    <xf numFmtId="0" fontId="8" fillId="0" borderId="0" xfId="0" applyFont="1" applyAlignment="1" applyProtection="1">
      <alignment horizontal="center" vertical="center" textRotation="90" wrapText="1"/>
      <protection locked="0"/>
    </xf>
    <xf numFmtId="0" fontId="8" fillId="0" borderId="0" xfId="0" applyFont="1" applyAlignment="1" applyProtection="1">
      <alignment horizontal="center" vertical="center" textRotation="90"/>
      <protection locked="0"/>
    </xf>
    <xf numFmtId="0" fontId="7" fillId="0" borderId="0" xfId="0" applyFont="1" applyAlignment="1" applyProtection="1">
      <alignment vertical="center"/>
      <protection locked="0"/>
    </xf>
    <xf numFmtId="0" fontId="5" fillId="0" borderId="18" xfId="0" applyFont="1" applyBorder="1" applyProtection="1">
      <protection locked="0"/>
    </xf>
    <xf numFmtId="0" fontId="5" fillId="0" borderId="16" xfId="0" applyFont="1" applyBorder="1" applyProtection="1">
      <protection locked="0"/>
    </xf>
    <xf numFmtId="0" fontId="5" fillId="0" borderId="21" xfId="0" applyFont="1" applyBorder="1" applyProtection="1">
      <protection locked="0"/>
    </xf>
    <xf numFmtId="0" fontId="17" fillId="0" borderId="0" xfId="0" applyFont="1" applyAlignment="1">
      <alignment vertical="center" wrapText="1"/>
    </xf>
    <xf numFmtId="0" fontId="18" fillId="0" borderId="8" xfId="0" applyFont="1" applyBorder="1" applyAlignment="1" applyProtection="1">
      <alignment horizontal="center" vertical="center" wrapText="1"/>
      <protection locked="0"/>
    </xf>
    <xf numFmtId="0" fontId="14" fillId="0" borderId="0" xfId="0" applyFont="1" applyAlignment="1">
      <alignment vertical="center" wrapText="1"/>
    </xf>
    <xf numFmtId="0" fontId="6" fillId="0" borderId="1" xfId="0" applyFont="1" applyBorder="1" applyAlignment="1">
      <alignment horizontal="center" vertical="center" wrapText="1"/>
    </xf>
    <xf numFmtId="0" fontId="6" fillId="2" borderId="9" xfId="0" applyFont="1" applyFill="1" applyBorder="1" applyAlignment="1">
      <alignment horizontal="center" vertical="center"/>
    </xf>
    <xf numFmtId="0" fontId="5" fillId="0" borderId="0" xfId="0" applyFont="1" applyAlignment="1" applyProtection="1">
      <alignment vertical="center" wrapText="1"/>
      <protection locked="0"/>
    </xf>
    <xf numFmtId="0" fontId="8" fillId="6" borderId="11" xfId="0" applyFont="1" applyFill="1" applyBorder="1" applyAlignment="1" applyProtection="1">
      <alignment horizontal="center" vertical="center"/>
      <protection locked="0"/>
    </xf>
    <xf numFmtId="165" fontId="8" fillId="6" borderId="10" xfId="2" applyNumberFormat="1" applyFont="1" applyFill="1" applyBorder="1" applyAlignment="1" applyProtection="1">
      <alignment horizontal="center" vertical="center"/>
      <protection locked="0"/>
    </xf>
    <xf numFmtId="0" fontId="7" fillId="7" borderId="4" xfId="0" applyFont="1" applyFill="1" applyBorder="1" applyAlignment="1">
      <alignment horizontal="center" vertical="center"/>
    </xf>
    <xf numFmtId="0" fontId="7" fillId="0" borderId="3" xfId="0" applyFont="1" applyBorder="1" applyAlignment="1">
      <alignment vertical="center"/>
    </xf>
    <xf numFmtId="0" fontId="7" fillId="0" borderId="4" xfId="0" applyFont="1" applyBorder="1" applyAlignment="1">
      <alignment vertical="center"/>
    </xf>
    <xf numFmtId="0" fontId="7" fillId="0" borderId="5" xfId="0" applyFont="1" applyBorder="1" applyAlignment="1">
      <alignment vertical="center"/>
    </xf>
    <xf numFmtId="0" fontId="7" fillId="7" borderId="26" xfId="0" applyFont="1" applyFill="1" applyBorder="1" applyAlignment="1">
      <alignment horizontal="center" vertical="center"/>
    </xf>
    <xf numFmtId="0" fontId="7" fillId="0" borderId="25" xfId="0" applyFont="1" applyBorder="1" applyAlignment="1">
      <alignment vertical="center"/>
    </xf>
    <xf numFmtId="0" fontId="7" fillId="0" borderId="26" xfId="0" applyFont="1" applyBorder="1" applyAlignment="1">
      <alignment vertical="center"/>
    </xf>
    <xf numFmtId="0" fontId="7" fillId="0" borderId="27" xfId="0" applyFont="1" applyBorder="1" applyAlignment="1">
      <alignment vertical="center"/>
    </xf>
    <xf numFmtId="0" fontId="8" fillId="5" borderId="11" xfId="0" applyFont="1" applyFill="1" applyBorder="1" applyAlignment="1">
      <alignment horizontal="center" vertical="center"/>
    </xf>
    <xf numFmtId="0" fontId="8" fillId="7" borderId="11" xfId="0" applyFont="1" applyFill="1" applyBorder="1" applyAlignment="1">
      <alignment horizontal="center" vertical="center"/>
    </xf>
    <xf numFmtId="0" fontId="7" fillId="5" borderId="23" xfId="0" applyFont="1" applyFill="1" applyBorder="1" applyAlignment="1">
      <alignment vertical="center"/>
    </xf>
    <xf numFmtId="0" fontId="7" fillId="5" borderId="11" xfId="0" applyFont="1" applyFill="1" applyBorder="1" applyAlignment="1">
      <alignment vertical="center"/>
    </xf>
    <xf numFmtId="0" fontId="7" fillId="5" borderId="14" xfId="0" applyFont="1" applyFill="1" applyBorder="1" applyAlignment="1">
      <alignment vertical="center"/>
    </xf>
    <xf numFmtId="0" fontId="8" fillId="6" borderId="10" xfId="0" applyFont="1" applyFill="1" applyBorder="1" applyAlignment="1" applyProtection="1">
      <alignment horizontal="center" vertical="center"/>
      <protection locked="0"/>
    </xf>
    <xf numFmtId="0" fontId="7" fillId="6" borderId="3" xfId="0" applyFont="1" applyFill="1" applyBorder="1" applyAlignment="1">
      <alignment horizontal="center" vertical="center"/>
    </xf>
    <xf numFmtId="0" fontId="7" fillId="6" borderId="25" xfId="0" applyFont="1" applyFill="1" applyBorder="1" applyAlignment="1">
      <alignment horizontal="center" vertical="center"/>
    </xf>
    <xf numFmtId="0" fontId="8" fillId="6" borderId="23" xfId="0" applyFont="1" applyFill="1" applyBorder="1" applyAlignment="1">
      <alignment horizontal="center" vertical="center"/>
    </xf>
    <xf numFmtId="0" fontId="8" fillId="7" borderId="12" xfId="0" applyFont="1" applyFill="1" applyBorder="1" applyAlignment="1" applyProtection="1">
      <alignment horizontal="center" vertical="center"/>
      <protection locked="0"/>
    </xf>
    <xf numFmtId="0" fontId="6" fillId="0" borderId="23" xfId="0" applyFont="1" applyBorder="1" applyAlignment="1">
      <alignment horizontal="center" vertical="center" wrapText="1"/>
    </xf>
    <xf numFmtId="166" fontId="5" fillId="7" borderId="31" xfId="0" applyNumberFormat="1" applyFont="1" applyFill="1" applyBorder="1" applyAlignment="1">
      <alignment horizontal="center" vertical="center"/>
    </xf>
    <xf numFmtId="166" fontId="5" fillId="6" borderId="31" xfId="0" applyNumberFormat="1" applyFont="1" applyFill="1" applyBorder="1" applyAlignment="1">
      <alignment horizontal="center" vertical="center"/>
    </xf>
    <xf numFmtId="0" fontId="0" fillId="7" borderId="7" xfId="0" applyFill="1" applyBorder="1"/>
    <xf numFmtId="166" fontId="5" fillId="7" borderId="25" xfId="0" applyNumberFormat="1" applyFont="1" applyFill="1" applyBorder="1" applyAlignment="1">
      <alignment horizontal="center" vertical="center"/>
    </xf>
    <xf numFmtId="0" fontId="6" fillId="2" borderId="13" xfId="0" applyFont="1" applyFill="1" applyBorder="1" applyAlignment="1">
      <alignment horizontal="center" vertical="center"/>
    </xf>
    <xf numFmtId="0" fontId="23" fillId="10" borderId="53" xfId="0" applyFont="1" applyFill="1" applyBorder="1" applyAlignment="1">
      <alignment horizontal="center" vertical="center" wrapText="1"/>
    </xf>
    <xf numFmtId="0" fontId="23" fillId="10" borderId="56" xfId="0" applyFont="1" applyFill="1" applyBorder="1" applyAlignment="1">
      <alignment horizontal="center" vertical="center" wrapText="1"/>
    </xf>
    <xf numFmtId="0" fontId="23" fillId="10" borderId="57" xfId="0" applyFont="1" applyFill="1" applyBorder="1" applyAlignment="1">
      <alignment horizontal="center" vertical="center" wrapText="1"/>
    </xf>
    <xf numFmtId="0" fontId="7" fillId="7" borderId="41" xfId="0" applyFont="1" applyFill="1" applyBorder="1" applyAlignment="1">
      <alignment horizontal="center" vertical="center" wrapText="1"/>
    </xf>
    <xf numFmtId="0" fontId="7" fillId="7" borderId="31" xfId="0" applyFont="1" applyFill="1" applyBorder="1" applyAlignment="1">
      <alignment horizontal="left" vertical="center" wrapText="1"/>
    </xf>
    <xf numFmtId="0" fontId="7" fillId="7" borderId="7" xfId="0" applyFont="1" applyFill="1" applyBorder="1" applyAlignment="1">
      <alignment horizontal="left" vertical="center" wrapText="1"/>
    </xf>
    <xf numFmtId="0" fontId="20" fillId="7" borderId="7" xfId="3" applyFont="1" applyFill="1" applyBorder="1" applyAlignment="1" applyProtection="1">
      <alignment horizontal="left" vertical="center" wrapText="1"/>
    </xf>
    <xf numFmtId="0" fontId="7" fillId="7" borderId="7" xfId="0" applyFont="1" applyFill="1" applyBorder="1" applyAlignment="1">
      <alignment vertical="center" wrapText="1"/>
    </xf>
    <xf numFmtId="0" fontId="20" fillId="0" borderId="7" xfId="3" applyFont="1" applyFill="1" applyBorder="1" applyAlignment="1" applyProtection="1">
      <alignment horizontal="left" vertical="center" wrapText="1"/>
    </xf>
    <xf numFmtId="0" fontId="13" fillId="0" borderId="7" xfId="3" applyFill="1" applyBorder="1" applyAlignment="1">
      <alignment wrapText="1"/>
    </xf>
    <xf numFmtId="166" fontId="7" fillId="6" borderId="3" xfId="0" applyNumberFormat="1" applyFont="1" applyFill="1" applyBorder="1" applyAlignment="1">
      <alignment horizontal="center" vertical="center"/>
    </xf>
    <xf numFmtId="0" fontId="7" fillId="6" borderId="17" xfId="0" applyFont="1" applyFill="1" applyBorder="1" applyAlignment="1">
      <alignment horizontal="center" vertical="center" wrapText="1"/>
    </xf>
    <xf numFmtId="0" fontId="7" fillId="6" borderId="3" xfId="0" applyFont="1" applyFill="1" applyBorder="1" applyAlignment="1">
      <alignment horizontal="left" vertical="center" wrapText="1"/>
    </xf>
    <xf numFmtId="0" fontId="7" fillId="6" borderId="4" xfId="0" applyFont="1" applyFill="1" applyBorder="1" applyAlignment="1">
      <alignment horizontal="left" vertical="center" wrapText="1"/>
    </xf>
    <xf numFmtId="0" fontId="19" fillId="6" borderId="4" xfId="3" applyFont="1" applyFill="1" applyBorder="1" applyAlignment="1" applyProtection="1">
      <alignment horizontal="left" vertical="center" wrapText="1"/>
    </xf>
    <xf numFmtId="0" fontId="7" fillId="6" borderId="5" xfId="0" applyFont="1" applyFill="1" applyBorder="1" applyAlignment="1">
      <alignment horizontal="left" vertical="center" wrapText="1"/>
    </xf>
    <xf numFmtId="0" fontId="7" fillId="7" borderId="38" xfId="0" applyFont="1" applyFill="1" applyBorder="1" applyAlignment="1">
      <alignment horizontal="left" vertical="center" wrapText="1"/>
    </xf>
    <xf numFmtId="0" fontId="0" fillId="7" borderId="38" xfId="0" applyFill="1" applyBorder="1"/>
    <xf numFmtId="0" fontId="7" fillId="6" borderId="4" xfId="0" applyFont="1" applyFill="1" applyBorder="1" applyAlignment="1">
      <alignment horizontal="center" vertical="center"/>
    </xf>
    <xf numFmtId="0" fontId="7" fillId="6" borderId="26" xfId="0" applyFont="1" applyFill="1" applyBorder="1" applyAlignment="1">
      <alignment horizontal="center" vertical="center"/>
    </xf>
    <xf numFmtId="0" fontId="8" fillId="6" borderId="11" xfId="0" applyFont="1" applyFill="1" applyBorder="1" applyAlignment="1">
      <alignment horizontal="center" vertical="center"/>
    </xf>
    <xf numFmtId="0" fontId="7" fillId="6" borderId="41" xfId="0" applyFont="1" applyFill="1" applyBorder="1" applyAlignment="1">
      <alignment horizontal="center" vertical="center" wrapText="1"/>
    </xf>
    <xf numFmtId="0" fontId="7" fillId="6" borderId="31" xfId="0" applyFont="1" applyFill="1" applyBorder="1" applyAlignment="1">
      <alignment horizontal="left" vertical="center" wrapText="1"/>
    </xf>
    <xf numFmtId="0" fontId="7" fillId="6" borderId="7" xfId="0" applyFont="1" applyFill="1" applyBorder="1" applyAlignment="1">
      <alignment horizontal="left" vertical="center" wrapText="1"/>
    </xf>
    <xf numFmtId="0" fontId="20" fillId="6" borderId="7" xfId="3" applyFont="1" applyFill="1" applyBorder="1" applyAlignment="1" applyProtection="1">
      <alignment horizontal="left" vertical="center" wrapText="1"/>
    </xf>
    <xf numFmtId="0" fontId="7" fillId="6" borderId="38" xfId="0" applyFont="1" applyFill="1" applyBorder="1" applyAlignment="1">
      <alignment horizontal="left" vertical="center" wrapText="1"/>
    </xf>
    <xf numFmtId="4" fontId="7" fillId="6" borderId="49" xfId="0" applyNumberFormat="1" applyFont="1" applyFill="1" applyBorder="1" applyAlignment="1">
      <alignment horizontal="center" vertical="center"/>
    </xf>
    <xf numFmtId="4" fontId="5" fillId="7" borderId="50" xfId="0" applyNumberFormat="1" applyFont="1" applyFill="1" applyBorder="1" applyAlignment="1">
      <alignment horizontal="center" vertical="center"/>
    </xf>
    <xf numFmtId="4" fontId="5" fillId="6" borderId="50" xfId="0" applyNumberFormat="1" applyFont="1" applyFill="1" applyBorder="1" applyAlignment="1">
      <alignment horizontal="center" vertical="center"/>
    </xf>
    <xf numFmtId="1" fontId="7" fillId="6" borderId="30" xfId="0" applyNumberFormat="1" applyFont="1" applyFill="1" applyBorder="1" applyAlignment="1">
      <alignment horizontal="center" vertical="center"/>
    </xf>
    <xf numFmtId="1" fontId="5" fillId="7" borderId="35" xfId="0" applyNumberFormat="1" applyFont="1" applyFill="1" applyBorder="1" applyAlignment="1">
      <alignment horizontal="center" vertical="center"/>
    </xf>
    <xf numFmtId="1" fontId="5" fillId="6" borderId="35" xfId="0" applyNumberFormat="1" applyFont="1" applyFill="1" applyBorder="1" applyAlignment="1">
      <alignment horizontal="center" vertical="center"/>
    </xf>
    <xf numFmtId="0" fontId="6" fillId="0" borderId="9" xfId="0" applyFont="1" applyBorder="1" applyAlignment="1">
      <alignment horizontal="center" vertical="center" wrapText="1"/>
    </xf>
    <xf numFmtId="0" fontId="8" fillId="0" borderId="11" xfId="0" applyFont="1" applyBorder="1" applyAlignment="1" applyProtection="1">
      <alignment horizontal="center" vertical="center"/>
      <protection locked="0"/>
    </xf>
    <xf numFmtId="0" fontId="7" fillId="0" borderId="4" xfId="0" applyFont="1" applyBorder="1" applyAlignment="1">
      <alignment horizontal="center" vertical="center"/>
    </xf>
    <xf numFmtId="0" fontId="7" fillId="0" borderId="26" xfId="0" applyFont="1" applyBorder="1" applyAlignment="1">
      <alignment horizontal="center" vertical="center"/>
    </xf>
    <xf numFmtId="166" fontId="5" fillId="0" borderId="31" xfId="0" applyNumberFormat="1" applyFont="1" applyBorder="1" applyAlignment="1">
      <alignment horizontal="center" vertical="center"/>
    </xf>
    <xf numFmtId="4" fontId="5" fillId="0" borderId="50" xfId="0" applyNumberFormat="1" applyFont="1" applyBorder="1" applyAlignment="1">
      <alignment horizontal="center" vertical="center"/>
    </xf>
    <xf numFmtId="1" fontId="5" fillId="0" borderId="35" xfId="0" applyNumberFormat="1" applyFont="1" applyBorder="1" applyAlignment="1">
      <alignment horizontal="center" vertical="center"/>
    </xf>
    <xf numFmtId="0" fontId="7" fillId="0" borderId="41" xfId="0" applyFont="1" applyBorder="1" applyAlignment="1">
      <alignment horizontal="center" vertical="center" wrapText="1"/>
    </xf>
    <xf numFmtId="0" fontId="7" fillId="0" borderId="31" xfId="0" applyFont="1" applyBorder="1" applyAlignment="1">
      <alignment horizontal="left" vertical="center" wrapText="1"/>
    </xf>
    <xf numFmtId="0" fontId="7" fillId="0" borderId="7" xfId="0" applyFont="1" applyBorder="1" applyAlignment="1">
      <alignment horizontal="left" vertical="center" wrapText="1"/>
    </xf>
    <xf numFmtId="0" fontId="7" fillId="0" borderId="38" xfId="0" applyFont="1" applyBorder="1" applyAlignment="1">
      <alignment horizontal="left" vertical="center" wrapText="1"/>
    </xf>
    <xf numFmtId="0" fontId="0" fillId="0" borderId="7" xfId="0" applyBorder="1"/>
    <xf numFmtId="0" fontId="0" fillId="0" borderId="38" xfId="0" applyBorder="1"/>
    <xf numFmtId="0" fontId="7" fillId="0" borderId="7" xfId="0" applyFont="1" applyBorder="1" applyAlignment="1">
      <alignment vertical="center" wrapText="1"/>
    </xf>
    <xf numFmtId="0" fontId="7" fillId="0" borderId="38" xfId="0" applyFont="1" applyBorder="1" applyAlignment="1">
      <alignment horizontal="left" vertical="center"/>
    </xf>
    <xf numFmtId="0" fontId="16" fillId="0" borderId="7" xfId="0" applyFont="1" applyBorder="1" applyAlignment="1">
      <alignment wrapText="1"/>
    </xf>
    <xf numFmtId="0" fontId="0" fillId="6" borderId="7" xfId="0" applyFill="1" applyBorder="1"/>
    <xf numFmtId="4" fontId="5" fillId="7" borderId="51" xfId="0" applyNumberFormat="1" applyFont="1" applyFill="1" applyBorder="1" applyAlignment="1">
      <alignment horizontal="center" vertical="center"/>
    </xf>
    <xf numFmtId="1" fontId="5" fillId="7" borderId="52" xfId="0" applyNumberFormat="1" applyFont="1" applyFill="1" applyBorder="1" applyAlignment="1">
      <alignment horizontal="center" vertical="center"/>
    </xf>
    <xf numFmtId="0" fontId="7" fillId="7" borderId="36" xfId="0" applyFont="1" applyFill="1" applyBorder="1" applyAlignment="1">
      <alignment horizontal="center" vertical="center" wrapText="1"/>
    </xf>
    <xf numFmtId="0" fontId="7" fillId="7" borderId="25" xfId="0" applyFont="1" applyFill="1" applyBorder="1" applyAlignment="1">
      <alignment horizontal="left" vertical="center" wrapText="1"/>
    </xf>
    <xf numFmtId="0" fontId="7" fillId="7" borderId="26" xfId="0" applyFont="1" applyFill="1" applyBorder="1" applyAlignment="1">
      <alignment horizontal="left" vertical="center" wrapText="1"/>
    </xf>
    <xf numFmtId="0" fontId="5" fillId="7" borderId="26" xfId="0" applyFont="1" applyFill="1" applyBorder="1" applyAlignment="1">
      <alignment vertical="center" wrapText="1"/>
    </xf>
    <xf numFmtId="0" fontId="7" fillId="7" borderId="27" xfId="0" applyFont="1" applyFill="1" applyBorder="1" applyAlignment="1">
      <alignment horizontal="left" vertical="center" wrapText="1"/>
    </xf>
    <xf numFmtId="0" fontId="13" fillId="6" borderId="7" xfId="4" applyFill="1" applyBorder="1" applyAlignment="1" applyProtection="1">
      <alignment horizontal="left" vertical="center" wrapText="1"/>
      <protection locked="0"/>
    </xf>
    <xf numFmtId="1" fontId="7" fillId="6" borderId="22" xfId="0" applyNumberFormat="1" applyFont="1" applyFill="1" applyBorder="1" applyAlignment="1">
      <alignment horizontal="center" vertical="center"/>
    </xf>
    <xf numFmtId="1" fontId="5" fillId="6" borderId="34" xfId="0" applyNumberFormat="1" applyFont="1" applyFill="1" applyBorder="1" applyAlignment="1">
      <alignment horizontal="center" vertical="center" wrapText="1"/>
    </xf>
    <xf numFmtId="1" fontId="5" fillId="7" borderId="34" xfId="0" applyNumberFormat="1" applyFont="1" applyFill="1" applyBorder="1" applyAlignment="1">
      <alignment horizontal="center" vertical="center" wrapText="1"/>
    </xf>
    <xf numFmtId="1" fontId="5" fillId="0" borderId="34" xfId="0" applyNumberFormat="1" applyFont="1" applyBorder="1" applyAlignment="1">
      <alignment horizontal="center" vertical="center" wrapText="1"/>
    </xf>
    <xf numFmtId="166" fontId="7" fillId="6" borderId="22" xfId="0" applyNumberFormat="1" applyFont="1" applyFill="1" applyBorder="1" applyAlignment="1">
      <alignment horizontal="center" vertical="center" wrapText="1"/>
    </xf>
    <xf numFmtId="166" fontId="7" fillId="6" borderId="46" xfId="0" applyNumberFormat="1" applyFont="1" applyFill="1" applyBorder="1" applyAlignment="1">
      <alignment horizontal="center" vertical="center" wrapText="1"/>
    </xf>
    <xf numFmtId="166" fontId="7" fillId="7" borderId="46" xfId="0" applyNumberFormat="1" applyFont="1" applyFill="1" applyBorder="1" applyAlignment="1">
      <alignment horizontal="center" vertical="center" wrapText="1"/>
    </xf>
    <xf numFmtId="166" fontId="7" fillId="0" borderId="46" xfId="0" applyNumberFormat="1" applyFont="1" applyBorder="1" applyAlignment="1">
      <alignment horizontal="center" vertical="center" wrapText="1"/>
    </xf>
    <xf numFmtId="166" fontId="7" fillId="7" borderId="37" xfId="0" applyNumberFormat="1" applyFont="1" applyFill="1" applyBorder="1" applyAlignment="1">
      <alignment horizontal="center" vertical="center" wrapText="1"/>
    </xf>
    <xf numFmtId="0" fontId="6" fillId="0" borderId="22" xfId="0" applyFont="1" applyBorder="1" applyAlignment="1" applyProtection="1">
      <alignment horizontal="center" vertical="center" wrapText="1"/>
      <protection locked="0"/>
    </xf>
    <xf numFmtId="0" fontId="7" fillId="6" borderId="62" xfId="0" applyFont="1" applyFill="1" applyBorder="1" applyAlignment="1" applyProtection="1">
      <alignment vertical="center" wrapText="1"/>
      <protection locked="0"/>
    </xf>
    <xf numFmtId="0" fontId="22" fillId="6" borderId="63" xfId="0" applyFont="1" applyFill="1" applyBorder="1" applyAlignment="1" applyProtection="1">
      <alignment vertical="center" wrapText="1"/>
      <protection locked="0"/>
    </xf>
    <xf numFmtId="0" fontId="22" fillId="7" borderId="63" xfId="0" applyFont="1" applyFill="1" applyBorder="1" applyAlignment="1" applyProtection="1">
      <alignment vertical="center" wrapText="1"/>
      <protection locked="0"/>
    </xf>
    <xf numFmtId="0" fontId="22" fillId="0" borderId="63" xfId="0" applyFont="1" applyBorder="1" applyAlignment="1" applyProtection="1">
      <alignment vertical="center" wrapText="1"/>
      <protection locked="0"/>
    </xf>
    <xf numFmtId="0" fontId="21" fillId="0" borderId="63" xfId="0" applyFont="1" applyBorder="1" applyAlignment="1" applyProtection="1">
      <alignment wrapText="1"/>
      <protection locked="0"/>
    </xf>
    <xf numFmtId="0" fontId="21" fillId="0" borderId="63" xfId="0" applyFont="1" applyBorder="1" applyAlignment="1">
      <alignment wrapText="1"/>
    </xf>
    <xf numFmtId="0" fontId="15" fillId="0" borderId="63" xfId="0" applyFont="1" applyBorder="1" applyAlignment="1">
      <alignment wrapText="1"/>
    </xf>
    <xf numFmtId="0" fontId="21" fillId="7" borderId="63" xfId="0" applyFont="1" applyFill="1" applyBorder="1"/>
    <xf numFmtId="0" fontId="22" fillId="11" borderId="63" xfId="0" applyFont="1" applyFill="1" applyBorder="1" applyAlignment="1" applyProtection="1">
      <alignment vertical="center" wrapText="1"/>
      <protection locked="0"/>
    </xf>
    <xf numFmtId="0" fontId="22" fillId="7" borderId="63" xfId="0" applyFont="1" applyFill="1" applyBorder="1" applyAlignment="1" applyProtection="1">
      <alignment horizontal="left" vertical="center" wrapText="1"/>
      <protection locked="0"/>
    </xf>
    <xf numFmtId="0" fontId="0" fillId="11" borderId="63" xfId="0" applyFill="1" applyBorder="1" applyAlignment="1" applyProtection="1">
      <alignment vertical="center" wrapText="1"/>
      <protection locked="0"/>
    </xf>
    <xf numFmtId="0" fontId="22" fillId="7" borderId="64" xfId="0" applyFont="1" applyFill="1" applyBorder="1" applyAlignment="1" applyProtection="1">
      <alignment vertical="center" wrapText="1"/>
      <protection locked="0"/>
    </xf>
    <xf numFmtId="0" fontId="22" fillId="12" borderId="63" xfId="0" applyFont="1" applyFill="1" applyBorder="1" applyAlignment="1" applyProtection="1">
      <alignment vertical="center" wrapText="1"/>
      <protection locked="0"/>
    </xf>
    <xf numFmtId="0" fontId="0" fillId="6" borderId="40" xfId="0" applyFill="1" applyBorder="1"/>
    <xf numFmtId="0" fontId="0" fillId="7" borderId="40" xfId="0" applyFill="1" applyBorder="1"/>
    <xf numFmtId="0" fontId="0" fillId="0" borderId="40" xfId="0" applyBorder="1"/>
    <xf numFmtId="0" fontId="13" fillId="7" borderId="40" xfId="3" applyFill="1" applyBorder="1" applyAlignment="1">
      <alignment wrapText="1"/>
    </xf>
    <xf numFmtId="0" fontId="13" fillId="0" borderId="40" xfId="3" applyBorder="1" applyAlignment="1">
      <alignment wrapText="1"/>
    </xf>
    <xf numFmtId="0" fontId="20" fillId="7" borderId="40" xfId="3" applyFont="1" applyFill="1" applyBorder="1" applyAlignment="1" applyProtection="1">
      <alignment horizontal="left" vertical="center" wrapText="1"/>
    </xf>
    <xf numFmtId="0" fontId="7" fillId="6" borderId="32" xfId="0" applyFont="1" applyFill="1" applyBorder="1" applyAlignment="1">
      <alignment horizontal="left" vertical="center" wrapText="1"/>
    </xf>
    <xf numFmtId="0" fontId="7" fillId="7" borderId="32" xfId="0" applyFont="1" applyFill="1" applyBorder="1" applyAlignment="1">
      <alignment horizontal="left" vertical="center" wrapText="1"/>
    </xf>
    <xf numFmtId="0" fontId="7" fillId="0" borderId="32" xfId="0" applyFont="1" applyBorder="1" applyAlignment="1">
      <alignment horizontal="left" vertical="center" wrapText="1"/>
    </xf>
    <xf numFmtId="0" fontId="7" fillId="0" borderId="32" xfId="0" applyFont="1" applyBorder="1" applyAlignment="1">
      <alignment horizontal="left" vertical="center"/>
    </xf>
    <xf numFmtId="0" fontId="7" fillId="6" borderId="39" xfId="0" applyFont="1" applyFill="1" applyBorder="1" applyAlignment="1">
      <alignment horizontal="left" vertical="center" wrapText="1"/>
    </xf>
    <xf numFmtId="0" fontId="7" fillId="7" borderId="39" xfId="0" applyFont="1" applyFill="1" applyBorder="1" applyAlignment="1">
      <alignment horizontal="left" vertical="center" wrapText="1"/>
    </xf>
    <xf numFmtId="0" fontId="7" fillId="0" borderId="39" xfId="0" applyFont="1" applyBorder="1" applyAlignment="1">
      <alignment horizontal="left" vertical="center" wrapText="1"/>
    </xf>
    <xf numFmtId="0" fontId="16" fillId="0" borderId="39" xfId="0" applyFont="1" applyBorder="1" applyAlignment="1">
      <alignment wrapText="1"/>
    </xf>
    <xf numFmtId="0" fontId="8" fillId="13" borderId="11" xfId="0" applyFont="1" applyFill="1" applyBorder="1" applyAlignment="1" applyProtection="1">
      <alignment horizontal="center" vertical="center"/>
      <protection locked="0"/>
    </xf>
    <xf numFmtId="0" fontId="8" fillId="13" borderId="12" xfId="0" applyFont="1" applyFill="1" applyBorder="1" applyAlignment="1" applyProtection="1">
      <alignment horizontal="center" vertical="center"/>
      <protection locked="0"/>
    </xf>
    <xf numFmtId="165" fontId="8" fillId="13" borderId="10" xfId="2" applyNumberFormat="1" applyFont="1" applyFill="1" applyBorder="1" applyAlignment="1" applyProtection="1">
      <alignment horizontal="center" vertical="center"/>
      <protection locked="0"/>
    </xf>
    <xf numFmtId="0" fontId="7" fillId="13" borderId="4" xfId="0" applyFont="1" applyFill="1" applyBorder="1" applyAlignment="1">
      <alignment horizontal="center" vertical="center"/>
    </xf>
    <xf numFmtId="0" fontId="7" fillId="13" borderId="26" xfId="0" applyFont="1" applyFill="1" applyBorder="1" applyAlignment="1">
      <alignment horizontal="center" vertical="center"/>
    </xf>
    <xf numFmtId="0" fontId="8" fillId="13" borderId="11" xfId="0" applyFont="1" applyFill="1" applyBorder="1" applyAlignment="1">
      <alignment horizontal="center" vertical="center"/>
    </xf>
    <xf numFmtId="0" fontId="8" fillId="7" borderId="10" xfId="0" applyFont="1" applyFill="1" applyBorder="1" applyAlignment="1" applyProtection="1">
      <alignment horizontal="center" vertical="center"/>
      <protection locked="0"/>
    </xf>
    <xf numFmtId="0" fontId="7" fillId="7" borderId="3" xfId="0" applyFont="1" applyFill="1" applyBorder="1" applyAlignment="1">
      <alignment horizontal="center" vertical="center"/>
    </xf>
    <xf numFmtId="0" fontId="7" fillId="7" borderId="25" xfId="0" applyFont="1" applyFill="1" applyBorder="1" applyAlignment="1">
      <alignment horizontal="center" vertical="center"/>
    </xf>
    <xf numFmtId="0" fontId="8" fillId="7" borderId="23" xfId="0" applyFont="1" applyFill="1" applyBorder="1" applyAlignment="1">
      <alignment horizontal="center" vertical="center"/>
    </xf>
    <xf numFmtId="0" fontId="0" fillId="0" borderId="63" xfId="0" applyBorder="1" applyAlignment="1">
      <alignment wrapText="1"/>
    </xf>
    <xf numFmtId="0" fontId="22" fillId="0" borderId="63" xfId="0" applyFont="1" applyBorder="1" applyAlignment="1" applyProtection="1">
      <alignment horizontal="left" vertical="center" wrapText="1"/>
      <protection locked="0"/>
    </xf>
    <xf numFmtId="0" fontId="7" fillId="7" borderId="62" xfId="0" applyFont="1" applyFill="1" applyBorder="1" applyAlignment="1" applyProtection="1">
      <alignment vertical="center" wrapText="1"/>
      <protection locked="0"/>
    </xf>
    <xf numFmtId="166" fontId="7" fillId="7" borderId="22" xfId="0" applyNumberFormat="1" applyFont="1" applyFill="1" applyBorder="1" applyAlignment="1">
      <alignment horizontal="center" vertical="center" wrapText="1"/>
    </xf>
    <xf numFmtId="0" fontId="7" fillId="7" borderId="17" xfId="0" applyFont="1" applyFill="1" applyBorder="1" applyAlignment="1">
      <alignment horizontal="center" vertical="center" wrapText="1"/>
    </xf>
    <xf numFmtId="0" fontId="21" fillId="7" borderId="63" xfId="0" applyFont="1" applyFill="1" applyBorder="1" applyAlignment="1" applyProtection="1">
      <alignment wrapText="1"/>
      <protection locked="0"/>
    </xf>
    <xf numFmtId="0" fontId="7" fillId="7" borderId="3" xfId="0" applyFont="1" applyFill="1" applyBorder="1" applyAlignment="1">
      <alignment horizontal="left" vertical="center" wrapText="1"/>
    </xf>
    <xf numFmtId="0" fontId="7" fillId="7" borderId="4" xfId="0" applyFont="1" applyFill="1" applyBorder="1" applyAlignment="1">
      <alignment horizontal="left" vertical="center" wrapText="1"/>
    </xf>
    <xf numFmtId="0" fontId="19" fillId="7" borderId="4" xfId="3" applyFont="1" applyFill="1" applyBorder="1" applyAlignment="1" applyProtection="1">
      <alignment horizontal="left" vertical="center" wrapText="1"/>
    </xf>
    <xf numFmtId="0" fontId="7" fillId="7" borderId="5" xfId="0" applyFont="1" applyFill="1" applyBorder="1" applyAlignment="1">
      <alignment horizontal="left" vertical="center" wrapText="1"/>
    </xf>
    <xf numFmtId="0" fontId="19" fillId="7" borderId="43" xfId="3" applyFont="1" applyFill="1" applyBorder="1" applyAlignment="1" applyProtection="1">
      <alignment horizontal="left" vertical="center" wrapText="1"/>
    </xf>
    <xf numFmtId="0" fontId="13" fillId="7" borderId="7" xfId="4" applyFill="1" applyBorder="1" applyAlignment="1" applyProtection="1">
      <alignment horizontal="left" vertical="center" wrapText="1"/>
      <protection locked="0"/>
    </xf>
    <xf numFmtId="0" fontId="7" fillId="7" borderId="48" xfId="0" applyFont="1" applyFill="1" applyBorder="1" applyAlignment="1">
      <alignment horizontal="left" vertical="center" wrapText="1"/>
    </xf>
    <xf numFmtId="0" fontId="13" fillId="0" borderId="0" xfId="3" applyAlignment="1">
      <alignment wrapText="1"/>
    </xf>
    <xf numFmtId="0" fontId="22" fillId="11" borderId="63" xfId="0" applyFont="1" applyFill="1" applyBorder="1" applyAlignment="1" applyProtection="1">
      <alignment horizontal="left" vertical="center" wrapText="1"/>
      <protection locked="0"/>
    </xf>
    <xf numFmtId="0" fontId="22" fillId="7" borderId="66" xfId="0" applyFont="1" applyFill="1" applyBorder="1" applyAlignment="1" applyProtection="1">
      <alignment vertical="center" wrapText="1"/>
      <protection locked="0"/>
    </xf>
    <xf numFmtId="0" fontId="17" fillId="0" borderId="63" xfId="0" applyFont="1" applyBorder="1" applyAlignment="1" applyProtection="1">
      <alignment vertical="center" wrapText="1"/>
      <protection locked="0"/>
    </xf>
    <xf numFmtId="0" fontId="4" fillId="0" borderId="65" xfId="0" applyFont="1" applyBorder="1" applyAlignment="1" applyProtection="1">
      <alignment vertical="center" wrapText="1"/>
      <protection locked="0"/>
    </xf>
    <xf numFmtId="0" fontId="28" fillId="12" borderId="63" xfId="0" applyFont="1" applyFill="1" applyBorder="1" applyAlignment="1" applyProtection="1">
      <alignment horizontal="left" vertical="center" wrapText="1"/>
      <protection locked="0"/>
    </xf>
    <xf numFmtId="0" fontId="20" fillId="0" borderId="40" xfId="3" applyFont="1" applyFill="1" applyBorder="1" applyAlignment="1" applyProtection="1">
      <alignment horizontal="left" vertical="center" wrapText="1"/>
    </xf>
    <xf numFmtId="0" fontId="19" fillId="6" borderId="40" xfId="3" applyFont="1" applyFill="1" applyBorder="1" applyAlignment="1" applyProtection="1">
      <alignment horizontal="left" vertical="center" wrapText="1"/>
    </xf>
    <xf numFmtId="0" fontId="13" fillId="0" borderId="40" xfId="3" applyBorder="1"/>
    <xf numFmtId="0" fontId="7" fillId="7" borderId="40" xfId="0" applyFont="1" applyFill="1" applyBorder="1" applyAlignment="1">
      <alignment horizontal="left" vertical="center" wrapText="1"/>
    </xf>
    <xf numFmtId="0" fontId="7" fillId="6" borderId="54" xfId="0" applyFont="1" applyFill="1" applyBorder="1" applyAlignment="1">
      <alignment horizontal="left" vertical="center" wrapText="1"/>
    </xf>
    <xf numFmtId="0" fontId="7" fillId="7" borderId="55" xfId="0" applyFont="1" applyFill="1" applyBorder="1" applyAlignment="1">
      <alignment horizontal="left" vertical="center" wrapText="1"/>
    </xf>
    <xf numFmtId="0" fontId="7" fillId="6" borderId="43" xfId="0" applyFont="1" applyFill="1" applyBorder="1" applyAlignment="1">
      <alignment horizontal="left" vertical="center" wrapText="1"/>
    </xf>
    <xf numFmtId="0" fontId="13" fillId="14" borderId="40" xfId="3" applyFill="1" applyBorder="1" applyAlignment="1">
      <alignment wrapText="1"/>
    </xf>
    <xf numFmtId="0" fontId="20" fillId="14" borderId="40" xfId="3" applyFont="1" applyFill="1" applyBorder="1" applyAlignment="1" applyProtection="1">
      <alignment horizontal="left" vertical="center" wrapText="1"/>
    </xf>
    <xf numFmtId="0" fontId="13" fillId="14" borderId="40" xfId="3" applyFill="1" applyBorder="1" applyAlignment="1" applyProtection="1">
      <protection locked="0"/>
    </xf>
    <xf numFmtId="0" fontId="22" fillId="14" borderId="63" xfId="0" applyFont="1" applyFill="1" applyBorder="1" applyAlignment="1" applyProtection="1">
      <alignment vertical="center" wrapText="1"/>
      <protection locked="0"/>
    </xf>
    <xf numFmtId="0" fontId="20" fillId="15" borderId="7" xfId="3" applyFont="1" applyFill="1" applyBorder="1" applyAlignment="1" applyProtection="1">
      <alignment horizontal="left" vertical="center" wrapText="1"/>
    </xf>
    <xf numFmtId="0" fontId="15" fillId="14" borderId="63" xfId="0" applyFont="1" applyFill="1" applyBorder="1" applyAlignment="1">
      <alignment wrapText="1"/>
    </xf>
    <xf numFmtId="0" fontId="21" fillId="14" borderId="63" xfId="0" applyFont="1" applyFill="1" applyBorder="1" applyAlignment="1">
      <alignment wrapText="1"/>
    </xf>
    <xf numFmtId="0" fontId="4" fillId="0" borderId="63" xfId="0" applyFont="1" applyBorder="1" applyAlignment="1" applyProtection="1">
      <alignment vertical="center" wrapText="1"/>
      <protection locked="0"/>
    </xf>
    <xf numFmtId="0" fontId="4" fillId="0" borderId="63" xfId="0" applyFont="1" applyBorder="1" applyAlignment="1" applyProtection="1">
      <alignment horizontal="left" vertical="center" wrapText="1"/>
      <protection locked="0"/>
    </xf>
    <xf numFmtId="0" fontId="29" fillId="0" borderId="63" xfId="0" applyFont="1" applyBorder="1" applyAlignment="1" applyProtection="1">
      <alignment wrapText="1"/>
      <protection locked="0"/>
    </xf>
    <xf numFmtId="0" fontId="21" fillId="11" borderId="63" xfId="0" applyFont="1" applyFill="1" applyBorder="1" applyProtection="1">
      <protection locked="0"/>
    </xf>
    <xf numFmtId="0" fontId="15" fillId="0" borderId="63" xfId="0" applyFont="1" applyBorder="1" applyAlignment="1" applyProtection="1">
      <alignment wrapText="1"/>
      <protection locked="0"/>
    </xf>
    <xf numFmtId="0" fontId="0" fillId="0" borderId="63" xfId="0" applyBorder="1" applyAlignment="1" applyProtection="1">
      <alignment wrapText="1"/>
      <protection locked="0"/>
    </xf>
    <xf numFmtId="0" fontId="5" fillId="0" borderId="17" xfId="0" applyFont="1" applyBorder="1"/>
    <xf numFmtId="0" fontId="5" fillId="0" borderId="22" xfId="0" applyFont="1" applyBorder="1"/>
    <xf numFmtId="0" fontId="5" fillId="0" borderId="22" xfId="0" applyFont="1" applyBorder="1" applyAlignment="1">
      <alignment horizontal="right"/>
    </xf>
    <xf numFmtId="0" fontId="5" fillId="0" borderId="22" xfId="0" applyFont="1" applyBorder="1" applyAlignment="1">
      <alignment horizontal="center"/>
    </xf>
    <xf numFmtId="0" fontId="5" fillId="0" borderId="20" xfId="0" applyFont="1" applyBorder="1"/>
    <xf numFmtId="0" fontId="5" fillId="0" borderId="2" xfId="0" applyFont="1" applyBorder="1"/>
    <xf numFmtId="0" fontId="5" fillId="0" borderId="0" xfId="0" applyFont="1"/>
    <xf numFmtId="0" fontId="5" fillId="0" borderId="0" xfId="0" applyFont="1" applyAlignment="1">
      <alignment horizontal="right"/>
    </xf>
    <xf numFmtId="0" fontId="5" fillId="0" borderId="0" xfId="0" applyFont="1" applyAlignment="1">
      <alignment horizontal="center"/>
    </xf>
    <xf numFmtId="0" fontId="5" fillId="0" borderId="19" xfId="0" applyFont="1" applyBorder="1"/>
    <xf numFmtId="0" fontId="5" fillId="0" borderId="18" xfId="0" applyFont="1" applyBorder="1"/>
    <xf numFmtId="0" fontId="5" fillId="0" borderId="16" xfId="0" applyFont="1" applyBorder="1"/>
    <xf numFmtId="0" fontId="5" fillId="0" borderId="21" xfId="0" applyFont="1" applyBorder="1"/>
    <xf numFmtId="166" fontId="7" fillId="7" borderId="3" xfId="0" applyNumberFormat="1" applyFont="1" applyFill="1" applyBorder="1" applyAlignment="1">
      <alignment horizontal="center" vertical="center"/>
    </xf>
    <xf numFmtId="4" fontId="7" fillId="7" borderId="49" xfId="0" applyNumberFormat="1" applyFont="1" applyFill="1" applyBorder="1" applyAlignment="1">
      <alignment horizontal="center" vertical="center"/>
    </xf>
    <xf numFmtId="1" fontId="7" fillId="7" borderId="30" xfId="0" applyNumberFormat="1" applyFont="1" applyFill="1" applyBorder="1" applyAlignment="1">
      <alignment horizontal="center" vertical="center"/>
    </xf>
    <xf numFmtId="1" fontId="7" fillId="7" borderId="22" xfId="0" applyNumberFormat="1" applyFont="1" applyFill="1" applyBorder="1" applyAlignment="1">
      <alignment horizontal="center" vertical="center"/>
    </xf>
    <xf numFmtId="1" fontId="25" fillId="0" borderId="35" xfId="0" applyNumberFormat="1" applyFont="1" applyBorder="1" applyAlignment="1">
      <alignment horizontal="center" vertical="center"/>
    </xf>
    <xf numFmtId="4" fontId="5" fillId="0" borderId="69" xfId="0" applyNumberFormat="1" applyFont="1" applyBorder="1" applyAlignment="1">
      <alignment horizontal="center" vertical="center"/>
    </xf>
    <xf numFmtId="166" fontId="5" fillId="0" borderId="63" xfId="0" applyNumberFormat="1" applyFont="1" applyBorder="1" applyAlignment="1" applyProtection="1">
      <alignment horizontal="center" vertical="center"/>
      <protection locked="0"/>
    </xf>
    <xf numFmtId="0" fontId="7" fillId="0" borderId="63" xfId="0" applyFont="1" applyBorder="1" applyAlignment="1" applyProtection="1">
      <alignment horizontal="center" vertical="center" wrapText="1"/>
      <protection locked="0"/>
    </xf>
    <xf numFmtId="0" fontId="7" fillId="0" borderId="31" xfId="0" applyFont="1" applyBorder="1" applyAlignment="1" applyProtection="1">
      <alignment horizontal="left" vertical="center" wrapText="1"/>
      <protection locked="0"/>
    </xf>
    <xf numFmtId="0" fontId="7" fillId="0" borderId="7" xfId="0" applyFont="1" applyBorder="1" applyAlignment="1" applyProtection="1">
      <alignment horizontal="left" vertical="center" wrapText="1"/>
      <protection locked="0"/>
    </xf>
    <xf numFmtId="166" fontId="5" fillId="7" borderId="63" xfId="0" applyNumberFormat="1" applyFont="1" applyFill="1" applyBorder="1" applyAlignment="1" applyProtection="1">
      <alignment horizontal="center" vertical="center"/>
      <protection locked="0"/>
    </xf>
    <xf numFmtId="0" fontId="7" fillId="7" borderId="63" xfId="0" applyFont="1" applyFill="1" applyBorder="1" applyAlignment="1" applyProtection="1">
      <alignment horizontal="center" vertical="center" wrapText="1"/>
      <protection locked="0"/>
    </xf>
    <xf numFmtId="0" fontId="7" fillId="7" borderId="31" xfId="0" applyFont="1" applyFill="1" applyBorder="1" applyAlignment="1" applyProtection="1">
      <alignment horizontal="left" vertical="center" wrapText="1"/>
      <protection locked="0"/>
    </xf>
    <xf numFmtId="0" fontId="7" fillId="7" borderId="7" xfId="0" applyFont="1" applyFill="1" applyBorder="1" applyAlignment="1" applyProtection="1">
      <alignment horizontal="left" vertical="center" wrapText="1"/>
      <protection locked="0"/>
    </xf>
    <xf numFmtId="166" fontId="5" fillId="0" borderId="65" xfId="0" applyNumberFormat="1" applyFont="1" applyBorder="1" applyAlignment="1" applyProtection="1">
      <alignment horizontal="center" vertical="center"/>
      <protection locked="0"/>
    </xf>
    <xf numFmtId="0" fontId="7" fillId="0" borderId="65" xfId="0" applyFont="1" applyBorder="1" applyAlignment="1" applyProtection="1">
      <alignment horizontal="center" vertical="center" wrapText="1"/>
      <protection locked="0"/>
    </xf>
    <xf numFmtId="166" fontId="5" fillId="0" borderId="25" xfId="0" applyNumberFormat="1" applyFont="1" applyBorder="1" applyAlignment="1">
      <alignment horizontal="center" vertical="center"/>
    </xf>
    <xf numFmtId="4" fontId="5" fillId="0" borderId="72" xfId="0" applyNumberFormat="1" applyFont="1" applyBorder="1" applyAlignment="1">
      <alignment horizontal="center" vertical="center"/>
    </xf>
    <xf numFmtId="166" fontId="7" fillId="0" borderId="37" xfId="0" applyNumberFormat="1" applyFont="1" applyBorder="1" applyAlignment="1">
      <alignment horizontal="center" vertical="center" wrapText="1"/>
    </xf>
    <xf numFmtId="0" fontId="7" fillId="0" borderId="36" xfId="0" applyFont="1" applyBorder="1" applyAlignment="1">
      <alignment horizontal="center" vertical="center" wrapText="1"/>
    </xf>
    <xf numFmtId="0" fontId="7" fillId="0" borderId="25" xfId="0" applyFont="1" applyBorder="1" applyAlignment="1">
      <alignment horizontal="left" vertical="center" wrapText="1"/>
    </xf>
    <xf numFmtId="0" fontId="7" fillId="0" borderId="26" xfId="0" applyFont="1" applyBorder="1" applyAlignment="1">
      <alignment horizontal="left" vertical="center" wrapText="1"/>
    </xf>
    <xf numFmtId="0" fontId="20" fillId="0" borderId="26" xfId="3" applyFont="1" applyFill="1" applyBorder="1" applyAlignment="1" applyProtection="1">
      <alignment horizontal="left" vertical="center" wrapText="1"/>
    </xf>
    <xf numFmtId="0" fontId="7" fillId="0" borderId="27" xfId="0" applyFont="1" applyBorder="1" applyAlignment="1">
      <alignment horizontal="left" vertical="center" wrapText="1"/>
    </xf>
    <xf numFmtId="164" fontId="5" fillId="0" borderId="0" xfId="5" applyFont="1" applyAlignment="1" applyProtection="1">
      <alignment vertical="center"/>
      <protection locked="0"/>
    </xf>
    <xf numFmtId="0" fontId="0" fillId="0" borderId="73" xfId="0" applyBorder="1"/>
    <xf numFmtId="1" fontId="7" fillId="7" borderId="75" xfId="0" applyNumberFormat="1" applyFont="1" applyFill="1" applyBorder="1" applyAlignment="1">
      <alignment horizontal="center" vertical="center"/>
    </xf>
    <xf numFmtId="1" fontId="5" fillId="0" borderId="50" xfId="0" applyNumberFormat="1" applyFont="1" applyBorder="1" applyAlignment="1">
      <alignment horizontal="center" vertical="center" wrapText="1"/>
    </xf>
    <xf numFmtId="1" fontId="5" fillId="7" borderId="50" xfId="0" applyNumberFormat="1" applyFont="1" applyFill="1" applyBorder="1" applyAlignment="1">
      <alignment horizontal="center" vertical="center" wrapText="1"/>
    </xf>
    <xf numFmtId="1" fontId="5" fillId="0" borderId="69" xfId="0" applyNumberFormat="1" applyFont="1" applyBorder="1" applyAlignment="1">
      <alignment horizontal="center" vertical="center" wrapText="1"/>
    </xf>
    <xf numFmtId="1" fontId="5" fillId="0" borderId="51" xfId="0" applyNumberFormat="1" applyFont="1" applyBorder="1" applyAlignment="1">
      <alignment horizontal="center" vertical="center" wrapText="1"/>
    </xf>
    <xf numFmtId="1" fontId="7" fillId="7" borderId="29" xfId="0" applyNumberFormat="1" applyFont="1" applyFill="1" applyBorder="1" applyAlignment="1">
      <alignment horizontal="center" vertical="center"/>
    </xf>
    <xf numFmtId="1" fontId="5" fillId="0" borderId="34" xfId="0" applyNumberFormat="1" applyFont="1" applyBorder="1" applyAlignment="1">
      <alignment horizontal="center" vertical="center"/>
    </xf>
    <xf numFmtId="1" fontId="25" fillId="0" borderId="34" xfId="0" applyNumberFormat="1" applyFont="1" applyBorder="1" applyAlignment="1">
      <alignment horizontal="center" vertical="center"/>
    </xf>
    <xf numFmtId="1" fontId="5" fillId="7" borderId="34" xfId="0" applyNumberFormat="1" applyFont="1" applyFill="1" applyBorder="1" applyAlignment="1">
      <alignment horizontal="center" vertical="center"/>
    </xf>
    <xf numFmtId="1" fontId="5" fillId="0" borderId="46" xfId="0" applyNumberFormat="1" applyFont="1" applyBorder="1" applyAlignment="1">
      <alignment horizontal="center" vertical="center"/>
    </xf>
    <xf numFmtId="1" fontId="5" fillId="0" borderId="37" xfId="0" applyNumberFormat="1" applyFont="1" applyBorder="1" applyAlignment="1">
      <alignment horizontal="center" vertical="center"/>
    </xf>
    <xf numFmtId="0" fontId="7" fillId="7" borderId="76" xfId="0" applyFont="1" applyFill="1" applyBorder="1" applyAlignment="1" applyProtection="1">
      <alignment vertical="center" wrapText="1"/>
      <protection locked="0"/>
    </xf>
    <xf numFmtId="0" fontId="22" fillId="0" borderId="77" xfId="0" applyFont="1" applyBorder="1" applyAlignment="1" applyProtection="1">
      <alignment vertical="center" wrapText="1"/>
      <protection locked="0"/>
    </xf>
    <xf numFmtId="0" fontId="22" fillId="0" borderId="78" xfId="0" applyFont="1" applyBorder="1" applyAlignment="1" applyProtection="1">
      <alignment vertical="center" wrapText="1"/>
      <protection locked="0"/>
    </xf>
    <xf numFmtId="0" fontId="14" fillId="0" borderId="77" xfId="0" applyFont="1" applyBorder="1" applyAlignment="1" applyProtection="1">
      <alignment vertical="center" wrapText="1"/>
      <protection locked="0"/>
    </xf>
    <xf numFmtId="0" fontId="4" fillId="0" borderId="77" xfId="0" applyFont="1" applyBorder="1" applyAlignment="1" applyProtection="1">
      <alignment vertical="center" wrapText="1"/>
      <protection locked="0"/>
    </xf>
    <xf numFmtId="0" fontId="22" fillId="7" borderId="77" xfId="0" applyFont="1" applyFill="1" applyBorder="1" applyAlignment="1" applyProtection="1">
      <alignment vertical="center" wrapText="1"/>
      <protection locked="0"/>
    </xf>
    <xf numFmtId="0" fontId="21" fillId="7" borderId="77" xfId="0" applyFont="1" applyFill="1" applyBorder="1" applyAlignment="1" applyProtection="1">
      <alignment wrapText="1"/>
      <protection locked="0"/>
    </xf>
    <xf numFmtId="0" fontId="21" fillId="0" borderId="77" xfId="0" applyFont="1" applyBorder="1" applyAlignment="1" applyProtection="1">
      <alignment wrapText="1"/>
      <protection locked="0"/>
    </xf>
    <xf numFmtId="0" fontId="0" fillId="0" borderId="39" xfId="0" applyBorder="1" applyAlignment="1" applyProtection="1">
      <alignment vertical="center" wrapText="1"/>
      <protection locked="0"/>
    </xf>
    <xf numFmtId="0" fontId="22" fillId="0" borderId="79" xfId="0" applyFont="1" applyBorder="1" applyAlignment="1" applyProtection="1">
      <alignment vertical="center" wrapText="1"/>
      <protection locked="0"/>
    </xf>
    <xf numFmtId="0" fontId="22" fillId="7" borderId="79" xfId="0" applyFont="1" applyFill="1" applyBorder="1" applyAlignment="1" applyProtection="1">
      <alignment vertical="center" wrapText="1"/>
      <protection locked="0"/>
    </xf>
    <xf numFmtId="0" fontId="15" fillId="0" borderId="77" xfId="0" applyFont="1" applyBorder="1" applyAlignment="1" applyProtection="1">
      <alignment wrapText="1"/>
      <protection locked="0"/>
    </xf>
    <xf numFmtId="0" fontId="21" fillId="0" borderId="77" xfId="0" applyFont="1" applyBorder="1" applyProtection="1">
      <protection locked="0"/>
    </xf>
    <xf numFmtId="0" fontId="0" fillId="0" borderId="77" xfId="0" applyBorder="1" applyAlignment="1" applyProtection="1">
      <alignment wrapText="1"/>
      <protection locked="0"/>
    </xf>
    <xf numFmtId="0" fontId="21" fillId="0" borderId="78" xfId="0" applyFont="1" applyBorder="1" applyAlignment="1" applyProtection="1">
      <alignment wrapText="1"/>
      <protection locked="0"/>
    </xf>
    <xf numFmtId="0" fontId="22" fillId="11" borderId="80" xfId="0" applyFont="1" applyFill="1" applyBorder="1" applyAlignment="1" applyProtection="1">
      <alignment horizontal="left" vertical="center" wrapText="1"/>
      <protection locked="0"/>
    </xf>
    <xf numFmtId="0" fontId="8" fillId="0" borderId="10" xfId="0" applyFont="1" applyBorder="1" applyAlignment="1" applyProtection="1">
      <alignment horizontal="center" vertical="center"/>
      <protection locked="0"/>
    </xf>
    <xf numFmtId="0" fontId="7" fillId="0" borderId="3" xfId="0" applyFont="1" applyBorder="1" applyAlignment="1">
      <alignment horizontal="center" vertical="center"/>
    </xf>
    <xf numFmtId="0" fontId="7" fillId="0" borderId="25" xfId="0" applyFont="1" applyBorder="1" applyAlignment="1">
      <alignment horizontal="center" vertical="center"/>
    </xf>
    <xf numFmtId="0" fontId="8" fillId="5" borderId="23" xfId="0" applyFont="1" applyFill="1" applyBorder="1" applyAlignment="1">
      <alignment horizontal="center" vertical="center"/>
    </xf>
    <xf numFmtId="166" fontId="7" fillId="0" borderId="3" xfId="0" applyNumberFormat="1" applyFont="1" applyBorder="1" applyAlignment="1">
      <alignment horizontal="center" vertical="center"/>
    </xf>
    <xf numFmtId="4" fontId="7" fillId="0" borderId="49" xfId="0" applyNumberFormat="1" applyFont="1" applyBorder="1" applyAlignment="1">
      <alignment horizontal="center" vertical="center"/>
    </xf>
    <xf numFmtId="1" fontId="7" fillId="0" borderId="30" xfId="0" applyNumberFormat="1" applyFont="1" applyBorder="1" applyAlignment="1">
      <alignment horizontal="center" vertical="center"/>
    </xf>
    <xf numFmtId="1" fontId="7" fillId="0" borderId="22" xfId="0" applyNumberFormat="1" applyFont="1" applyBorder="1" applyAlignment="1">
      <alignment horizontal="center" vertical="center"/>
    </xf>
    <xf numFmtId="166" fontId="7" fillId="0" borderId="22" xfId="0" applyNumberFormat="1" applyFont="1" applyBorder="1" applyAlignment="1">
      <alignment horizontal="center" vertical="center" wrapText="1"/>
    </xf>
    <xf numFmtId="0" fontId="7" fillId="0" borderId="17" xfId="0" applyFont="1" applyBorder="1" applyAlignment="1">
      <alignment horizontal="center" vertical="center" wrapText="1"/>
    </xf>
    <xf numFmtId="0" fontId="7" fillId="0" borderId="4" xfId="0" applyFont="1" applyBorder="1" applyAlignment="1">
      <alignment horizontal="left" vertical="center" wrapText="1"/>
    </xf>
    <xf numFmtId="0" fontId="19" fillId="0" borderId="4" xfId="3" applyFont="1" applyFill="1" applyBorder="1" applyAlignment="1" applyProtection="1">
      <alignment horizontal="left" vertical="center" wrapText="1"/>
    </xf>
    <xf numFmtId="0" fontId="7" fillId="0" borderId="5" xfId="0" applyFont="1" applyBorder="1" applyAlignment="1">
      <alignment horizontal="left" vertical="center" wrapText="1"/>
    </xf>
    <xf numFmtId="1" fontId="25" fillId="7" borderId="35" xfId="0" applyNumberFormat="1" applyFont="1" applyFill="1" applyBorder="1" applyAlignment="1">
      <alignment horizontal="center" vertical="center"/>
    </xf>
    <xf numFmtId="0" fontId="13" fillId="7" borderId="7" xfId="3" applyFill="1" applyBorder="1" applyAlignment="1">
      <alignment wrapText="1"/>
    </xf>
    <xf numFmtId="0" fontId="7" fillId="6" borderId="7" xfId="0" applyFont="1" applyFill="1" applyBorder="1" applyAlignment="1">
      <alignment vertical="center" wrapText="1"/>
    </xf>
    <xf numFmtId="0" fontId="0" fillId="6" borderId="38" xfId="0" applyFill="1" applyBorder="1"/>
    <xf numFmtId="1" fontId="5" fillId="0" borderId="52" xfId="0" applyNumberFormat="1" applyFont="1" applyBorder="1" applyAlignment="1">
      <alignment horizontal="center" vertical="center"/>
    </xf>
    <xf numFmtId="166" fontId="7" fillId="7" borderId="81" xfId="0" applyNumberFormat="1" applyFont="1" applyFill="1" applyBorder="1" applyAlignment="1">
      <alignment horizontal="center" vertical="center" wrapText="1"/>
    </xf>
    <xf numFmtId="0" fontId="7" fillId="7" borderId="17" xfId="0" applyFont="1" applyFill="1" applyBorder="1" applyAlignment="1">
      <alignment horizontal="left" vertical="center" wrapText="1"/>
    </xf>
    <xf numFmtId="0" fontId="7" fillId="7" borderId="82" xfId="0" applyFont="1" applyFill="1" applyBorder="1" applyAlignment="1">
      <alignment horizontal="left" vertical="center" wrapText="1"/>
    </xf>
    <xf numFmtId="0" fontId="19" fillId="7" borderId="82" xfId="3" applyFont="1" applyFill="1" applyBorder="1" applyAlignment="1">
      <alignment horizontal="left" vertical="center" wrapText="1"/>
    </xf>
    <xf numFmtId="0" fontId="7" fillId="7" borderId="83" xfId="0" applyFont="1" applyFill="1" applyBorder="1" applyAlignment="1">
      <alignment horizontal="left" vertical="center" wrapText="1"/>
    </xf>
    <xf numFmtId="166" fontId="7" fillId="0" borderId="84" xfId="0" applyNumberFormat="1" applyFont="1" applyBorder="1" applyAlignment="1">
      <alignment horizontal="center" vertical="center" wrapText="1"/>
    </xf>
    <xf numFmtId="0" fontId="7" fillId="0" borderId="41" xfId="0" applyFont="1" applyBorder="1" applyAlignment="1">
      <alignment horizontal="left" vertical="center" wrapText="1"/>
    </xf>
    <xf numFmtId="0" fontId="7" fillId="0" borderId="85" xfId="0" applyFont="1" applyBorder="1" applyAlignment="1">
      <alignment horizontal="left" vertical="center" wrapText="1"/>
    </xf>
    <xf numFmtId="0" fontId="13" fillId="0" borderId="68" xfId="3" applyBorder="1" applyAlignment="1">
      <alignment wrapText="1"/>
    </xf>
    <xf numFmtId="0" fontId="20" fillId="0" borderId="85" xfId="3" applyFont="1" applyBorder="1" applyAlignment="1">
      <alignment horizontal="left" vertical="center" wrapText="1"/>
    </xf>
    <xf numFmtId="0" fontId="7" fillId="0" borderId="86" xfId="0" applyFont="1" applyBorder="1" applyAlignment="1">
      <alignment horizontal="left" vertical="center" wrapText="1"/>
    </xf>
    <xf numFmtId="166" fontId="7" fillId="17" borderId="84" xfId="0" applyNumberFormat="1" applyFont="1" applyFill="1" applyBorder="1" applyAlignment="1">
      <alignment horizontal="center" vertical="center" wrapText="1"/>
    </xf>
    <xf numFmtId="0" fontId="7" fillId="17" borderId="41" xfId="0" applyFont="1" applyFill="1" applyBorder="1" applyAlignment="1">
      <alignment horizontal="center" vertical="center" wrapText="1"/>
    </xf>
    <xf numFmtId="0" fontId="7" fillId="17" borderId="41" xfId="0" applyFont="1" applyFill="1" applyBorder="1" applyAlignment="1">
      <alignment horizontal="left" vertical="center" wrapText="1"/>
    </xf>
    <xf numFmtId="0" fontId="7" fillId="17" borderId="85" xfId="0" applyFont="1" applyFill="1" applyBorder="1" applyAlignment="1">
      <alignment horizontal="left" vertical="center" wrapText="1"/>
    </xf>
    <xf numFmtId="0" fontId="13" fillId="17" borderId="68" xfId="3" applyFill="1" applyBorder="1" applyAlignment="1">
      <alignment wrapText="1"/>
    </xf>
    <xf numFmtId="0" fontId="0" fillId="17" borderId="85" xfId="0" applyFill="1" applyBorder="1"/>
    <xf numFmtId="0" fontId="7" fillId="17" borderId="86" xfId="0" applyFont="1" applyFill="1" applyBorder="1" applyAlignment="1">
      <alignment horizontal="left" vertical="center" wrapText="1"/>
    </xf>
    <xf numFmtId="0" fontId="0" fillId="0" borderId="85" xfId="0" applyBorder="1"/>
    <xf numFmtId="0" fontId="13" fillId="17" borderId="85" xfId="3" applyFill="1" applyBorder="1" applyAlignment="1">
      <alignment wrapText="1"/>
    </xf>
    <xf numFmtId="0" fontId="0" fillId="0" borderId="68" xfId="0" applyBorder="1"/>
    <xf numFmtId="166" fontId="7" fillId="7" borderId="84" xfId="0" applyNumberFormat="1" applyFont="1" applyFill="1" applyBorder="1" applyAlignment="1">
      <alignment horizontal="center" vertical="center" wrapText="1"/>
    </xf>
    <xf numFmtId="0" fontId="7" fillId="7" borderId="41" xfId="0" applyFont="1" applyFill="1" applyBorder="1" applyAlignment="1">
      <alignment horizontal="left" vertical="center" wrapText="1"/>
    </xf>
    <xf numFmtId="0" fontId="13" fillId="7" borderId="85" xfId="4" applyFill="1" applyBorder="1" applyAlignment="1">
      <alignment horizontal="left" vertical="center" wrapText="1"/>
    </xf>
    <xf numFmtId="0" fontId="7" fillId="7" borderId="85" xfId="0" applyFont="1" applyFill="1" applyBorder="1" applyAlignment="1">
      <alignment horizontal="left" vertical="center" wrapText="1"/>
    </xf>
    <xf numFmtId="0" fontId="0" fillId="7" borderId="68" xfId="0" applyFill="1" applyBorder="1"/>
    <xf numFmtId="0" fontId="20" fillId="7" borderId="85" xfId="3" applyFont="1" applyFill="1" applyBorder="1" applyAlignment="1">
      <alignment horizontal="left" vertical="center" wrapText="1"/>
    </xf>
    <xf numFmtId="0" fontId="7" fillId="7" borderId="86" xfId="0" applyFont="1" applyFill="1" applyBorder="1" applyAlignment="1">
      <alignment horizontal="left" vertical="center" wrapText="1"/>
    </xf>
    <xf numFmtId="0" fontId="0" fillId="7" borderId="85" xfId="0" applyFill="1" applyBorder="1"/>
    <xf numFmtId="0" fontId="7" fillId="7" borderId="85" xfId="0" applyFont="1" applyFill="1" applyBorder="1" applyAlignment="1">
      <alignment vertical="center" wrapText="1"/>
    </xf>
    <xf numFmtId="0" fontId="7" fillId="17" borderId="85" xfId="0" applyFont="1" applyFill="1" applyBorder="1" applyAlignment="1">
      <alignment vertical="center" wrapText="1"/>
    </xf>
    <xf numFmtId="0" fontId="7" fillId="0" borderId="85" xfId="0" applyFont="1" applyBorder="1" applyAlignment="1">
      <alignment vertical="center" wrapText="1"/>
    </xf>
    <xf numFmtId="0" fontId="20" fillId="17" borderId="85" xfId="3" applyFont="1" applyFill="1" applyBorder="1" applyAlignment="1">
      <alignment horizontal="left" vertical="center" wrapText="1"/>
    </xf>
    <xf numFmtId="0" fontId="7" fillId="0" borderId="85" xfId="0" applyFont="1" applyBorder="1" applyAlignment="1">
      <alignment horizontal="left" vertical="center"/>
    </xf>
    <xf numFmtId="0" fontId="7" fillId="17" borderId="85" xfId="0" applyFont="1" applyFill="1" applyBorder="1" applyAlignment="1">
      <alignment horizontal="left" vertical="center"/>
    </xf>
    <xf numFmtId="0" fontId="0" fillId="17" borderId="68" xfId="0" applyFill="1" applyBorder="1"/>
    <xf numFmtId="0" fontId="13" fillId="16" borderId="85" xfId="3" applyFill="1" applyBorder="1" applyAlignment="1">
      <alignment wrapText="1"/>
    </xf>
    <xf numFmtId="0" fontId="20" fillId="7" borderId="68" xfId="3" applyFont="1" applyFill="1" applyBorder="1" applyAlignment="1">
      <alignment horizontal="left" vertical="center" wrapText="1"/>
    </xf>
    <xf numFmtId="0" fontId="13" fillId="17" borderId="87" xfId="3" applyFill="1" applyBorder="1" applyAlignment="1">
      <alignment wrapText="1"/>
    </xf>
    <xf numFmtId="0" fontId="13" fillId="0" borderId="88" xfId="3" applyBorder="1" applyAlignment="1">
      <alignment wrapText="1"/>
    </xf>
    <xf numFmtId="0" fontId="7" fillId="17" borderId="89" xfId="0" applyFont="1" applyFill="1" applyBorder="1" applyAlignment="1">
      <alignment horizontal="left" vertical="center" wrapText="1"/>
    </xf>
    <xf numFmtId="0" fontId="7" fillId="0" borderId="89" xfId="0" applyFont="1" applyBorder="1" applyAlignment="1">
      <alignment horizontal="left" vertical="center" wrapText="1"/>
    </xf>
    <xf numFmtId="0" fontId="13" fillId="0" borderId="85" xfId="3" applyBorder="1" applyAlignment="1">
      <alignment wrapText="1"/>
    </xf>
    <xf numFmtId="0" fontId="13" fillId="0" borderId="87" xfId="3" applyBorder="1" applyAlignment="1">
      <alignment wrapText="1"/>
    </xf>
    <xf numFmtId="0" fontId="20" fillId="17" borderId="68" xfId="3" applyFont="1" applyFill="1" applyBorder="1" applyAlignment="1">
      <alignment horizontal="left" vertical="center" wrapText="1"/>
    </xf>
    <xf numFmtId="166" fontId="7" fillId="7" borderId="90" xfId="0" applyNumberFormat="1" applyFont="1" applyFill="1" applyBorder="1" applyAlignment="1">
      <alignment horizontal="center" vertical="center" wrapText="1"/>
    </xf>
    <xf numFmtId="0" fontId="7" fillId="7" borderId="36" xfId="0" applyFont="1" applyFill="1" applyBorder="1" applyAlignment="1">
      <alignment horizontal="left" vertical="center" wrapText="1"/>
    </xf>
    <xf numFmtId="0" fontId="5" fillId="7" borderId="55" xfId="0" applyFont="1" applyFill="1" applyBorder="1" applyAlignment="1">
      <alignment vertical="center" wrapText="1"/>
    </xf>
    <xf numFmtId="0" fontId="7" fillId="7" borderId="91" xfId="0" applyFont="1" applyFill="1" applyBorder="1" applyAlignment="1">
      <alignment horizontal="left" vertical="center" wrapText="1"/>
    </xf>
    <xf numFmtId="0" fontId="13" fillId="0" borderId="7" xfId="3" applyBorder="1" applyAlignment="1" applyProtection="1">
      <alignment horizontal="left" vertical="center" wrapText="1"/>
      <protection locked="0"/>
    </xf>
    <xf numFmtId="0" fontId="13" fillId="0" borderId="7" xfId="3" applyFill="1" applyBorder="1" applyAlignment="1" applyProtection="1">
      <alignment horizontal="left" vertical="center" wrapText="1"/>
    </xf>
    <xf numFmtId="0" fontId="4" fillId="18" borderId="77" xfId="0" applyFont="1" applyFill="1" applyBorder="1" applyAlignment="1" applyProtection="1">
      <alignment vertical="center" wrapText="1"/>
      <protection locked="0"/>
    </xf>
    <xf numFmtId="0" fontId="22" fillId="18" borderId="77" xfId="0" applyFont="1" applyFill="1" applyBorder="1" applyAlignment="1" applyProtection="1">
      <alignment vertical="center" wrapText="1"/>
      <protection locked="0"/>
    </xf>
    <xf numFmtId="0" fontId="15" fillId="18" borderId="77" xfId="0" applyFont="1" applyFill="1" applyBorder="1" applyAlignment="1" applyProtection="1">
      <alignment wrapText="1"/>
      <protection locked="0"/>
    </xf>
    <xf numFmtId="0" fontId="13" fillId="0" borderId="74" xfId="3" applyBorder="1" applyAlignment="1">
      <alignment wrapText="1"/>
    </xf>
    <xf numFmtId="0" fontId="7" fillId="0" borderId="39" xfId="0" applyFont="1" applyBorder="1" applyAlignment="1">
      <alignment horizontal="left" vertical="center"/>
    </xf>
    <xf numFmtId="0" fontId="7" fillId="0" borderId="39" xfId="0" applyFont="1" applyBorder="1" applyAlignment="1" applyProtection="1">
      <alignment horizontal="left" vertical="center" wrapText="1"/>
      <protection locked="0"/>
    </xf>
    <xf numFmtId="0" fontId="1" fillId="7" borderId="63" xfId="0" applyFont="1" applyFill="1" applyBorder="1" applyAlignment="1" applyProtection="1">
      <alignment wrapText="1"/>
      <protection locked="0"/>
    </xf>
    <xf numFmtId="0" fontId="14" fillId="0" borderId="62" xfId="0" applyFont="1" applyBorder="1" applyAlignment="1" applyProtection="1">
      <alignment vertical="center" wrapText="1"/>
      <protection locked="0"/>
    </xf>
    <xf numFmtId="0" fontId="7" fillId="0" borderId="3" xfId="0" applyFont="1" applyBorder="1" applyAlignment="1">
      <alignment horizontal="left" vertical="center" wrapText="1"/>
    </xf>
    <xf numFmtId="0" fontId="14" fillId="7" borderId="63" xfId="0" applyFont="1" applyFill="1" applyBorder="1" applyAlignment="1" applyProtection="1">
      <alignment vertical="center" wrapText="1"/>
      <protection locked="0"/>
    </xf>
    <xf numFmtId="0" fontId="4" fillId="12" borderId="63" xfId="0" applyFont="1" applyFill="1" applyBorder="1" applyAlignment="1" applyProtection="1">
      <alignment vertical="center" wrapText="1"/>
      <protection locked="0"/>
    </xf>
    <xf numFmtId="0" fontId="25" fillId="0" borderId="7" xfId="4" applyFont="1" applyFill="1" applyBorder="1" applyAlignment="1" applyProtection="1">
      <alignment horizontal="left" vertical="center" wrapText="1"/>
      <protection locked="0"/>
    </xf>
    <xf numFmtId="0" fontId="15" fillId="6" borderId="63" xfId="0" applyFont="1" applyFill="1" applyBorder="1" applyAlignment="1" applyProtection="1">
      <alignment wrapText="1"/>
      <protection locked="0"/>
    </xf>
    <xf numFmtId="0" fontId="4" fillId="11" borderId="66" xfId="0" applyFont="1" applyFill="1" applyBorder="1" applyAlignment="1" applyProtection="1">
      <alignment vertical="center" wrapText="1"/>
      <protection locked="0"/>
    </xf>
    <xf numFmtId="0" fontId="15" fillId="7" borderId="63" xfId="0" applyFont="1" applyFill="1" applyBorder="1" applyProtection="1">
      <protection locked="0"/>
    </xf>
    <xf numFmtId="0" fontId="29" fillId="12" borderId="63" xfId="0" applyFont="1" applyFill="1" applyBorder="1" applyAlignment="1" applyProtection="1">
      <alignment wrapText="1"/>
      <protection locked="0"/>
    </xf>
    <xf numFmtId="0" fontId="14" fillId="0" borderId="63" xfId="0" applyFont="1" applyBorder="1" applyAlignment="1" applyProtection="1">
      <alignment vertical="center" wrapText="1"/>
      <protection locked="0"/>
    </xf>
    <xf numFmtId="0" fontId="15" fillId="7" borderId="63" xfId="0" applyFont="1" applyFill="1" applyBorder="1" applyAlignment="1" applyProtection="1">
      <alignment wrapText="1"/>
      <protection locked="0"/>
    </xf>
    <xf numFmtId="0" fontId="7" fillId="0" borderId="32" xfId="0" applyFont="1" applyBorder="1" applyAlignment="1" applyProtection="1">
      <alignment horizontal="left" vertical="center" wrapText="1"/>
      <protection locked="0"/>
    </xf>
    <xf numFmtId="0" fontId="22" fillId="11" borderId="72" xfId="0" applyFont="1" applyFill="1" applyBorder="1" applyAlignment="1" applyProtection="1">
      <alignment horizontal="left" vertical="center" wrapText="1"/>
      <protection locked="0"/>
    </xf>
    <xf numFmtId="0" fontId="7" fillId="0" borderId="54" xfId="0" applyFont="1" applyBorder="1" applyAlignment="1">
      <alignment horizontal="left" vertical="center" wrapText="1"/>
    </xf>
    <xf numFmtId="0" fontId="7" fillId="7" borderId="32" xfId="0" applyFont="1" applyFill="1" applyBorder="1" applyAlignment="1">
      <alignment horizontal="left" vertical="center"/>
    </xf>
    <xf numFmtId="0" fontId="7" fillId="6" borderId="32" xfId="0" applyFont="1" applyFill="1" applyBorder="1" applyAlignment="1">
      <alignment horizontal="left" vertical="center"/>
    </xf>
    <xf numFmtId="0" fontId="7" fillId="0" borderId="55" xfId="0" applyFont="1" applyBorder="1" applyAlignment="1">
      <alignment horizontal="left" vertical="center" wrapText="1"/>
    </xf>
    <xf numFmtId="0" fontId="7" fillId="0" borderId="43" xfId="0" applyFont="1" applyBorder="1" applyAlignment="1">
      <alignment horizontal="left" vertical="center" wrapText="1"/>
    </xf>
    <xf numFmtId="0" fontId="7" fillId="0" borderId="48" xfId="0" applyFont="1" applyBorder="1" applyAlignment="1">
      <alignment horizontal="left" vertical="center" wrapText="1"/>
    </xf>
    <xf numFmtId="0" fontId="13" fillId="0" borderId="40" xfId="3" applyFill="1" applyBorder="1" applyAlignment="1" applyProtection="1">
      <alignment horizontal="left" vertical="center" wrapText="1"/>
      <protection locked="0"/>
    </xf>
    <xf numFmtId="0" fontId="7" fillId="0" borderId="40" xfId="0" applyFont="1" applyBorder="1" applyAlignment="1" applyProtection="1">
      <alignment horizontal="left" vertical="center" wrapText="1"/>
      <protection locked="0"/>
    </xf>
    <xf numFmtId="0" fontId="23" fillId="10" borderId="93" xfId="0" applyFont="1" applyFill="1" applyBorder="1" applyAlignment="1">
      <alignment horizontal="center" vertical="center" wrapText="1"/>
    </xf>
    <xf numFmtId="0" fontId="23" fillId="10" borderId="94" xfId="0" applyFont="1" applyFill="1" applyBorder="1" applyAlignment="1">
      <alignment horizontal="center" vertical="center" wrapText="1"/>
    </xf>
    <xf numFmtId="0" fontId="13" fillId="0" borderId="92" xfId="3" applyBorder="1" applyAlignment="1">
      <alignment wrapText="1"/>
    </xf>
    <xf numFmtId="0" fontId="20" fillId="0" borderId="95" xfId="3" applyFont="1" applyFill="1" applyBorder="1" applyAlignment="1" applyProtection="1">
      <alignment horizontal="left" vertical="center" wrapText="1"/>
    </xf>
    <xf numFmtId="0" fontId="7" fillId="0" borderId="67" xfId="0" applyFont="1" applyBorder="1" applyAlignment="1" applyProtection="1">
      <alignment horizontal="left" vertical="center" wrapText="1"/>
      <protection locked="0"/>
    </xf>
    <xf numFmtId="0" fontId="22" fillId="7" borderId="65" xfId="0" applyFont="1" applyFill="1" applyBorder="1" applyAlignment="1" applyProtection="1">
      <alignment vertical="center" wrapText="1"/>
      <protection locked="0"/>
    </xf>
    <xf numFmtId="0" fontId="13" fillId="0" borderId="7" xfId="4" applyFill="1" applyBorder="1" applyAlignment="1" applyProtection="1">
      <alignment horizontal="left" vertical="center" wrapText="1"/>
      <protection locked="0"/>
    </xf>
    <xf numFmtId="0" fontId="22" fillId="0" borderId="66" xfId="0" applyFont="1" applyBorder="1" applyAlignment="1" applyProtection="1">
      <alignment vertical="center" wrapText="1"/>
      <protection locked="0"/>
    </xf>
    <xf numFmtId="0" fontId="7" fillId="7" borderId="38" xfId="0" applyFont="1" applyFill="1" applyBorder="1" applyAlignment="1">
      <alignment horizontal="left" vertical="center"/>
    </xf>
    <xf numFmtId="0" fontId="21" fillId="0" borderId="63" xfId="0" applyFont="1" applyBorder="1" applyProtection="1">
      <protection locked="0"/>
    </xf>
    <xf numFmtId="4" fontId="5" fillId="7" borderId="72" xfId="0" applyNumberFormat="1" applyFont="1" applyFill="1" applyBorder="1" applyAlignment="1">
      <alignment horizontal="center" vertical="center"/>
    </xf>
    <xf numFmtId="1" fontId="5" fillId="7" borderId="37" xfId="0" applyNumberFormat="1" applyFont="1" applyFill="1" applyBorder="1" applyAlignment="1">
      <alignment horizontal="center" vertical="center" wrapText="1"/>
    </xf>
    <xf numFmtId="0" fontId="22" fillId="7" borderId="72" xfId="0" applyFont="1" applyFill="1" applyBorder="1" applyAlignment="1" applyProtection="1">
      <alignment horizontal="left" vertical="center" wrapText="1"/>
      <protection locked="0"/>
    </xf>
    <xf numFmtId="0" fontId="20" fillId="7" borderId="26" xfId="3" applyFont="1" applyFill="1" applyBorder="1" applyAlignment="1" applyProtection="1">
      <alignment horizontal="left" vertical="center" wrapText="1"/>
    </xf>
    <xf numFmtId="0" fontId="0" fillId="7" borderId="67" xfId="0" applyFill="1" applyBorder="1"/>
    <xf numFmtId="0" fontId="13" fillId="0" borderId="92" xfId="3" applyFill="1" applyBorder="1" applyAlignment="1">
      <alignment wrapText="1"/>
    </xf>
    <xf numFmtId="0" fontId="0" fillId="15" borderId="7" xfId="0" applyFill="1" applyBorder="1" applyAlignment="1">
      <alignment wrapText="1"/>
    </xf>
    <xf numFmtId="0" fontId="4" fillId="15" borderId="65" xfId="0" applyFont="1" applyFill="1" applyBorder="1" applyAlignment="1" applyProtection="1">
      <alignment vertical="center" wrapText="1"/>
      <protection locked="0"/>
    </xf>
    <xf numFmtId="0" fontId="24" fillId="0" borderId="63" xfId="0" applyFont="1" applyBorder="1" applyAlignment="1" applyProtection="1">
      <alignment vertical="center" wrapText="1"/>
      <protection locked="0"/>
    </xf>
    <xf numFmtId="0" fontId="31" fillId="0" borderId="63" xfId="0" applyFont="1" applyBorder="1" applyAlignment="1" applyProtection="1">
      <alignment wrapText="1"/>
      <protection locked="0"/>
    </xf>
    <xf numFmtId="0" fontId="7" fillId="0" borderId="40" xfId="3" applyFont="1" applyFill="1" applyBorder="1" applyAlignment="1" applyProtection="1">
      <alignment horizontal="left" vertical="center" wrapText="1"/>
      <protection locked="0"/>
    </xf>
    <xf numFmtId="0" fontId="7" fillId="7" borderId="40" xfId="0" applyFont="1" applyFill="1" applyBorder="1" applyAlignment="1" applyProtection="1">
      <alignment horizontal="left" vertical="center" wrapText="1"/>
      <protection locked="0"/>
    </xf>
    <xf numFmtId="0" fontId="7" fillId="7" borderId="32" xfId="0" applyFont="1" applyFill="1" applyBorder="1" applyAlignment="1" applyProtection="1">
      <alignment horizontal="left" vertical="center" wrapText="1"/>
      <protection locked="0"/>
    </xf>
    <xf numFmtId="0" fontId="7" fillId="7" borderId="39" xfId="0" applyFont="1" applyFill="1" applyBorder="1" applyAlignment="1" applyProtection="1">
      <alignment horizontal="left" vertical="center" wrapText="1"/>
      <protection locked="0"/>
    </xf>
    <xf numFmtId="0" fontId="0" fillId="7" borderId="73" xfId="0" applyFill="1" applyBorder="1"/>
    <xf numFmtId="0" fontId="20" fillId="7" borderId="97" xfId="3" applyFont="1" applyFill="1" applyBorder="1" applyAlignment="1" applyProtection="1">
      <alignment horizontal="left" vertical="center" wrapText="1"/>
    </xf>
    <xf numFmtId="0" fontId="4" fillId="16" borderId="63" xfId="0" applyFont="1" applyFill="1" applyBorder="1" applyAlignment="1" applyProtection="1">
      <alignment vertical="center" wrapText="1"/>
      <protection locked="0"/>
    </xf>
    <xf numFmtId="0" fontId="17" fillId="12" borderId="63" xfId="0" applyFont="1" applyFill="1" applyBorder="1" applyAlignment="1" applyProtection="1">
      <alignment vertical="center" wrapText="1"/>
      <protection locked="0"/>
    </xf>
    <xf numFmtId="0" fontId="13" fillId="0" borderId="67" xfId="3" applyBorder="1" applyAlignment="1">
      <alignment wrapText="1"/>
    </xf>
    <xf numFmtId="0" fontId="20" fillId="7" borderId="92" xfId="3" applyFont="1" applyFill="1" applyBorder="1" applyAlignment="1" applyProtection="1">
      <alignment horizontal="left" vertical="center" wrapText="1"/>
    </xf>
    <xf numFmtId="0" fontId="0" fillId="11" borderId="40" xfId="0" applyFill="1" applyBorder="1"/>
    <xf numFmtId="0" fontId="7" fillId="11" borderId="40" xfId="0" applyFont="1" applyFill="1" applyBorder="1" applyAlignment="1" applyProtection="1">
      <alignment horizontal="left" vertical="center" wrapText="1"/>
      <protection locked="0"/>
    </xf>
    <xf numFmtId="0" fontId="13" fillId="12" borderId="67" xfId="3" applyFill="1" applyBorder="1" applyAlignment="1">
      <alignment wrapText="1"/>
    </xf>
    <xf numFmtId="166" fontId="5" fillId="0" borderId="36" xfId="0" applyNumberFormat="1" applyFont="1" applyBorder="1" applyAlignment="1">
      <alignment horizontal="left" vertical="center"/>
    </xf>
    <xf numFmtId="166" fontId="5" fillId="0" borderId="37" xfId="0" applyNumberFormat="1" applyFont="1" applyBorder="1" applyAlignment="1">
      <alignment horizontal="left" vertical="center"/>
    </xf>
    <xf numFmtId="166" fontId="5" fillId="0" borderId="18" xfId="0" applyNumberFormat="1" applyFont="1" applyBorder="1" applyAlignment="1">
      <alignment horizontal="left" vertical="center"/>
    </xf>
    <xf numFmtId="166" fontId="5" fillId="0" borderId="16" xfId="0" applyNumberFormat="1" applyFont="1" applyBorder="1" applyAlignment="1">
      <alignment horizontal="left" vertical="center"/>
    </xf>
    <xf numFmtId="166" fontId="5" fillId="0" borderId="21" xfId="0" applyNumberFormat="1" applyFont="1" applyBorder="1" applyAlignment="1">
      <alignment horizontal="left" vertical="center"/>
    </xf>
    <xf numFmtId="166" fontId="5" fillId="0" borderId="0" xfId="0" applyNumberFormat="1" applyFont="1" applyAlignment="1" applyProtection="1">
      <alignment horizontal="left" vertical="center"/>
      <protection locked="0"/>
    </xf>
    <xf numFmtId="166" fontId="5" fillId="0" borderId="33" xfId="0" applyNumberFormat="1" applyFont="1" applyBorder="1" applyAlignment="1">
      <alignment horizontal="left" vertical="center"/>
    </xf>
    <xf numFmtId="166" fontId="5" fillId="0" borderId="34" xfId="0" applyNumberFormat="1" applyFont="1" applyBorder="1" applyAlignment="1">
      <alignment horizontal="left" vertical="center"/>
    </xf>
    <xf numFmtId="0" fontId="5" fillId="0" borderId="47" xfId="0" applyFont="1" applyBorder="1" applyAlignment="1">
      <alignment horizontal="left" vertical="center"/>
    </xf>
    <xf numFmtId="0" fontId="5" fillId="0" borderId="45" xfId="0" applyFont="1" applyBorder="1" applyAlignment="1">
      <alignment horizontal="left" vertical="center"/>
    </xf>
    <xf numFmtId="0" fontId="5" fillId="0" borderId="44" xfId="0" applyFont="1" applyBorder="1" applyAlignment="1">
      <alignment horizontal="left" vertical="center"/>
    </xf>
    <xf numFmtId="0" fontId="5" fillId="0" borderId="41" xfId="0" applyFont="1" applyBorder="1" applyAlignment="1">
      <alignment horizontal="left" vertical="center"/>
    </xf>
    <xf numFmtId="0" fontId="5" fillId="0" borderId="46" xfId="0" applyFont="1" applyBorder="1" applyAlignment="1">
      <alignment horizontal="left" vertical="center"/>
    </xf>
    <xf numFmtId="0" fontId="5" fillId="0" borderId="42" xfId="0" applyFont="1" applyBorder="1" applyAlignment="1">
      <alignment horizontal="left" vertical="center"/>
    </xf>
    <xf numFmtId="0" fontId="5" fillId="0" borderId="2" xfId="0" applyFont="1" applyBorder="1" applyAlignment="1">
      <alignment horizontal="left" vertical="center"/>
    </xf>
    <xf numFmtId="0" fontId="5" fillId="0" borderId="0" xfId="0" applyFont="1" applyAlignment="1">
      <alignment horizontal="left" vertical="center"/>
    </xf>
    <xf numFmtId="0" fontId="5" fillId="0" borderId="19" xfId="0" applyFont="1" applyBorder="1" applyAlignment="1">
      <alignment horizontal="left" vertical="center"/>
    </xf>
    <xf numFmtId="166" fontId="5" fillId="0" borderId="47" xfId="0" applyNumberFormat="1" applyFont="1" applyBorder="1" applyAlignment="1">
      <alignment horizontal="left" vertical="center"/>
    </xf>
    <xf numFmtId="166" fontId="5" fillId="0" borderId="45" xfId="0" applyNumberFormat="1" applyFont="1" applyBorder="1" applyAlignment="1">
      <alignment horizontal="left" vertical="center"/>
    </xf>
    <xf numFmtId="0" fontId="5" fillId="0" borderId="17" xfId="0" applyFont="1" applyBorder="1" applyAlignment="1">
      <alignment horizontal="left" vertical="center"/>
    </xf>
    <xf numFmtId="0" fontId="5" fillId="0" borderId="22" xfId="0" applyFont="1" applyBorder="1" applyAlignment="1">
      <alignment horizontal="left" vertical="center"/>
    </xf>
    <xf numFmtId="0" fontId="5" fillId="0" borderId="20" xfId="0" applyFont="1" applyBorder="1" applyAlignment="1">
      <alignment horizontal="left" vertical="center"/>
    </xf>
    <xf numFmtId="166" fontId="5" fillId="0" borderId="2" xfId="0" applyNumberFormat="1" applyFont="1" applyBorder="1" applyAlignment="1">
      <alignment horizontal="left" vertical="center"/>
    </xf>
    <xf numFmtId="166" fontId="5" fillId="0" borderId="0" xfId="0" applyNumberFormat="1" applyFont="1" applyAlignment="1">
      <alignment horizontal="left" vertical="center"/>
    </xf>
    <xf numFmtId="166" fontId="5" fillId="0" borderId="19" xfId="0" applyNumberFormat="1" applyFont="1" applyBorder="1" applyAlignment="1">
      <alignment horizontal="left" vertical="center"/>
    </xf>
    <xf numFmtId="0" fontId="6" fillId="7" borderId="67" xfId="0" applyFont="1" applyFill="1" applyBorder="1" applyAlignment="1">
      <alignment horizontal="center" vertical="center"/>
    </xf>
    <xf numFmtId="0" fontId="5" fillId="7" borderId="40" xfId="0" applyFont="1" applyFill="1" applyBorder="1" applyAlignment="1">
      <alignment horizontal="left" vertical="center"/>
    </xf>
    <xf numFmtId="0" fontId="5" fillId="7" borderId="58" xfId="0" applyFont="1" applyFill="1" applyBorder="1" applyAlignment="1">
      <alignment horizontal="left" vertical="center"/>
    </xf>
    <xf numFmtId="0" fontId="6" fillId="7" borderId="96" xfId="0" applyFont="1" applyFill="1" applyBorder="1" applyAlignment="1">
      <alignment horizontal="center" vertical="center"/>
    </xf>
    <xf numFmtId="0" fontId="6" fillId="7" borderId="70" xfId="0" applyFont="1" applyFill="1" applyBorder="1" applyAlignment="1">
      <alignment horizontal="center" vertical="center"/>
    </xf>
    <xf numFmtId="0" fontId="5" fillId="7" borderId="70" xfId="0" applyFont="1" applyFill="1" applyBorder="1" applyAlignment="1">
      <alignment horizontal="left" vertical="center"/>
    </xf>
    <xf numFmtId="0" fontId="5" fillId="7" borderId="71" xfId="0" applyFont="1" applyFill="1" applyBorder="1" applyAlignment="1">
      <alignment horizontal="left" vertical="center"/>
    </xf>
    <xf numFmtId="166" fontId="6" fillId="2" borderId="2" xfId="0" applyNumberFormat="1" applyFont="1" applyFill="1" applyBorder="1" applyAlignment="1">
      <alignment horizontal="left" vertical="center"/>
    </xf>
    <xf numFmtId="166" fontId="6" fillId="2" borderId="0" xfId="0" applyNumberFormat="1" applyFont="1" applyFill="1" applyAlignment="1">
      <alignment horizontal="left" vertical="center"/>
    </xf>
    <xf numFmtId="166" fontId="5" fillId="0" borderId="17" xfId="0" applyNumberFormat="1" applyFont="1" applyBorder="1" applyAlignment="1">
      <alignment horizontal="left" vertical="center" wrapText="1"/>
    </xf>
    <xf numFmtId="166" fontId="5" fillId="0" borderId="22" xfId="0" applyNumberFormat="1" applyFont="1" applyBorder="1" applyAlignment="1">
      <alignment horizontal="left" vertical="center" wrapText="1"/>
    </xf>
    <xf numFmtId="166" fontId="5" fillId="0" borderId="20" xfId="0" applyNumberFormat="1" applyFont="1" applyBorder="1" applyAlignment="1">
      <alignment horizontal="left" vertical="center" wrapText="1"/>
    </xf>
    <xf numFmtId="166" fontId="5" fillId="0" borderId="18" xfId="0" applyNumberFormat="1" applyFont="1" applyBorder="1" applyAlignment="1">
      <alignment horizontal="left" vertical="center" wrapText="1"/>
    </xf>
    <xf numFmtId="166" fontId="5" fillId="0" borderId="16" xfId="0" applyNumberFormat="1" applyFont="1" applyBorder="1" applyAlignment="1">
      <alignment horizontal="left" vertical="center" wrapText="1"/>
    </xf>
    <xf numFmtId="166" fontId="5" fillId="0" borderId="21" xfId="0" applyNumberFormat="1" applyFont="1" applyBorder="1" applyAlignment="1">
      <alignment horizontal="left" vertical="center" wrapText="1"/>
    </xf>
    <xf numFmtId="0" fontId="6" fillId="0" borderId="40" xfId="0" applyFont="1" applyBorder="1" applyAlignment="1">
      <alignment horizontal="center" vertical="center"/>
    </xf>
    <xf numFmtId="0" fontId="5" fillId="0" borderId="40" xfId="0" applyFont="1" applyBorder="1" applyAlignment="1">
      <alignment horizontal="left" vertical="center"/>
    </xf>
    <xf numFmtId="0" fontId="5" fillId="0" borderId="58" xfId="0" applyFont="1" applyBorder="1" applyAlignment="1">
      <alignment horizontal="left" vertical="center"/>
    </xf>
    <xf numFmtId="0" fontId="6" fillId="7" borderId="40" xfId="0" applyFont="1" applyFill="1" applyBorder="1" applyAlignment="1">
      <alignment horizontal="center" vertical="center"/>
    </xf>
    <xf numFmtId="0" fontId="6" fillId="0" borderId="32" xfId="0" applyFont="1" applyBorder="1" applyAlignment="1">
      <alignment horizontal="center" vertical="center"/>
    </xf>
    <xf numFmtId="0" fontId="6" fillId="0" borderId="39" xfId="0" applyFont="1" applyBorder="1" applyAlignment="1">
      <alignment horizontal="center" vertical="center"/>
    </xf>
    <xf numFmtId="0" fontId="6" fillId="7" borderId="32" xfId="0" applyFont="1" applyFill="1" applyBorder="1" applyAlignment="1">
      <alignment horizontal="center" vertical="center"/>
    </xf>
    <xf numFmtId="0" fontId="6" fillId="7" borderId="39" xfId="0" applyFont="1" applyFill="1" applyBorder="1" applyAlignment="1">
      <alignment horizontal="center" vertical="center"/>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6" xfId="0" applyFont="1" applyBorder="1" applyAlignment="1">
      <alignment horizontal="center" vertical="center" wrapText="1"/>
    </xf>
    <xf numFmtId="0" fontId="8" fillId="6" borderId="54" xfId="0" applyFont="1" applyFill="1" applyBorder="1" applyAlignment="1">
      <alignment horizontal="center" vertical="center"/>
    </xf>
    <xf numFmtId="0" fontId="8" fillId="6" borderId="43" xfId="0" applyFont="1" applyFill="1" applyBorder="1" applyAlignment="1">
      <alignment horizontal="center" vertical="center"/>
    </xf>
    <xf numFmtId="0" fontId="7" fillId="6" borderId="40" xfId="0" applyFont="1" applyFill="1" applyBorder="1" applyAlignment="1">
      <alignment horizontal="left" vertical="center"/>
    </xf>
    <xf numFmtId="0" fontId="7" fillId="6" borderId="58" xfId="0" applyFont="1" applyFill="1" applyBorder="1" applyAlignment="1">
      <alignment horizontal="left" vertical="center"/>
    </xf>
    <xf numFmtId="0" fontId="6" fillId="7" borderId="7" xfId="0" applyFont="1" applyFill="1" applyBorder="1" applyAlignment="1">
      <alignment horizontal="center" vertical="center"/>
    </xf>
    <xf numFmtId="0" fontId="5" fillId="2" borderId="31" xfId="0" applyFont="1" applyFill="1" applyBorder="1" applyAlignment="1">
      <alignment horizontal="left"/>
    </xf>
    <xf numFmtId="0" fontId="5" fillId="2" borderId="7" xfId="0" applyFont="1" applyFill="1" applyBorder="1" applyAlignment="1">
      <alignment horizontal="left"/>
    </xf>
    <xf numFmtId="0" fontId="5" fillId="2" borderId="32" xfId="0" applyFont="1" applyFill="1" applyBorder="1" applyAlignment="1">
      <alignment horizontal="left"/>
    </xf>
    <xf numFmtId="0" fontId="5" fillId="2" borderId="33" xfId="0" applyFont="1" applyFill="1" applyBorder="1" applyAlignment="1">
      <alignment horizontal="left" wrapText="1"/>
    </xf>
    <xf numFmtId="0" fontId="5" fillId="2" borderId="34" xfId="0" applyFont="1" applyFill="1" applyBorder="1" applyAlignment="1">
      <alignment horizontal="left" wrapText="1"/>
    </xf>
    <xf numFmtId="0" fontId="5" fillId="2" borderId="35" xfId="0" applyFont="1" applyFill="1" applyBorder="1" applyAlignment="1">
      <alignment horizontal="left" wrapText="1"/>
    </xf>
    <xf numFmtId="0" fontId="5" fillId="2" borderId="25" xfId="0" applyFont="1" applyFill="1" applyBorder="1" applyAlignment="1">
      <alignment horizontal="left"/>
    </xf>
    <xf numFmtId="0" fontId="5" fillId="2" borderId="26" xfId="0" applyFont="1" applyFill="1" applyBorder="1" applyAlignment="1">
      <alignment horizontal="left"/>
    </xf>
    <xf numFmtId="0" fontId="5" fillId="2" borderId="55" xfId="0" applyFont="1" applyFill="1" applyBorder="1" applyAlignment="1">
      <alignment horizontal="left"/>
    </xf>
    <xf numFmtId="0" fontId="6" fillId="2" borderId="36" xfId="0" applyFont="1" applyFill="1" applyBorder="1" applyAlignment="1">
      <alignment horizontal="left" wrapText="1"/>
    </xf>
    <xf numFmtId="0" fontId="6" fillId="2" borderId="37" xfId="0" applyFont="1" applyFill="1" applyBorder="1" applyAlignment="1">
      <alignment horizontal="left" wrapText="1"/>
    </xf>
    <xf numFmtId="0" fontId="6" fillId="2" borderId="52" xfId="0" applyFont="1" applyFill="1" applyBorder="1" applyAlignment="1">
      <alignment horizontal="left" wrapText="1"/>
    </xf>
    <xf numFmtId="0" fontId="5" fillId="0" borderId="0" xfId="0" applyFont="1" applyAlignment="1" applyProtection="1">
      <alignment horizontal="right"/>
      <protection locked="0"/>
    </xf>
    <xf numFmtId="0" fontId="5" fillId="0" borderId="0" xfId="0" applyFont="1" applyAlignment="1" applyProtection="1">
      <alignment horizontal="center"/>
      <protection locked="0"/>
    </xf>
    <xf numFmtId="0" fontId="5" fillId="2" borderId="3" xfId="0" applyFont="1" applyFill="1" applyBorder="1" applyAlignment="1">
      <alignment horizontal="left"/>
    </xf>
    <xf numFmtId="0" fontId="5" fillId="2" borderId="4" xfId="0" applyFont="1" applyFill="1" applyBorder="1" applyAlignment="1">
      <alignment horizontal="left"/>
    </xf>
    <xf numFmtId="0" fontId="5" fillId="2" borderId="54" xfId="0" applyFont="1" applyFill="1" applyBorder="1" applyAlignment="1">
      <alignment horizontal="left"/>
    </xf>
    <xf numFmtId="0" fontId="6" fillId="2" borderId="28" xfId="0" applyFont="1" applyFill="1" applyBorder="1" applyAlignment="1">
      <alignment horizontal="left" wrapText="1"/>
    </xf>
    <xf numFmtId="0" fontId="6" fillId="2" borderId="29" xfId="0" applyFont="1" applyFill="1" applyBorder="1" applyAlignment="1">
      <alignment horizontal="left" wrapText="1"/>
    </xf>
    <xf numFmtId="0" fontId="6" fillId="2" borderId="30" xfId="0" applyFont="1" applyFill="1" applyBorder="1" applyAlignment="1">
      <alignment horizontal="left" wrapText="1"/>
    </xf>
    <xf numFmtId="0" fontId="8" fillId="2" borderId="9" xfId="0" applyFont="1" applyFill="1" applyBorder="1" applyAlignment="1" applyProtection="1">
      <alignment horizontal="center" vertical="center" textRotation="90" wrapText="1"/>
      <protection locked="0"/>
    </xf>
    <xf numFmtId="0" fontId="8" fillId="2" borderId="13" xfId="0" applyFont="1" applyFill="1" applyBorder="1" applyAlignment="1" applyProtection="1">
      <alignment horizontal="center" vertical="center" textRotation="90"/>
      <protection locked="0"/>
    </xf>
    <xf numFmtId="0" fontId="6" fillId="0" borderId="0" xfId="0" applyFont="1" applyAlignment="1" applyProtection="1">
      <alignment horizontal="center"/>
      <protection locked="0"/>
    </xf>
    <xf numFmtId="0" fontId="10" fillId="5" borderId="17" xfId="0" applyFont="1" applyFill="1" applyBorder="1" applyAlignment="1" applyProtection="1">
      <alignment horizontal="center" vertical="center" wrapText="1"/>
      <protection locked="0"/>
    </xf>
    <xf numFmtId="0" fontId="10" fillId="5" borderId="22" xfId="0" applyFont="1" applyFill="1" applyBorder="1" applyAlignment="1" applyProtection="1">
      <alignment horizontal="center" vertical="center" wrapText="1"/>
      <protection locked="0"/>
    </xf>
    <xf numFmtId="0" fontId="10" fillId="5" borderId="20" xfId="0" applyFont="1" applyFill="1" applyBorder="1" applyAlignment="1" applyProtection="1">
      <alignment horizontal="center" vertical="center" wrapText="1"/>
      <protection locked="0"/>
    </xf>
    <xf numFmtId="0" fontId="10" fillId="5" borderId="2" xfId="0" applyFont="1" applyFill="1" applyBorder="1" applyAlignment="1" applyProtection="1">
      <alignment horizontal="center" vertical="center" wrapText="1"/>
      <protection locked="0"/>
    </xf>
    <xf numFmtId="0" fontId="10" fillId="5" borderId="0" xfId="0" applyFont="1" applyFill="1" applyAlignment="1" applyProtection="1">
      <alignment horizontal="center" vertical="center" wrapText="1"/>
      <protection locked="0"/>
    </xf>
    <xf numFmtId="0" fontId="10" fillId="5" borderId="19" xfId="0" applyFont="1" applyFill="1" applyBorder="1" applyAlignment="1" applyProtection="1">
      <alignment horizontal="center" vertical="center" wrapText="1"/>
      <protection locked="0"/>
    </xf>
    <xf numFmtId="0" fontId="10" fillId="5" borderId="18" xfId="0" applyFont="1" applyFill="1" applyBorder="1" applyAlignment="1" applyProtection="1">
      <alignment horizontal="center" vertical="center" wrapText="1"/>
      <protection locked="0"/>
    </xf>
    <xf numFmtId="0" fontId="10" fillId="5" borderId="16" xfId="0" applyFont="1" applyFill="1" applyBorder="1" applyAlignment="1" applyProtection="1">
      <alignment horizontal="center" vertical="center" wrapText="1"/>
      <protection locked="0"/>
    </xf>
    <xf numFmtId="0" fontId="10" fillId="5" borderId="21" xfId="0" applyFont="1" applyFill="1" applyBorder="1" applyAlignment="1" applyProtection="1">
      <alignment horizontal="center" vertical="center" wrapText="1"/>
      <protection locked="0"/>
    </xf>
    <xf numFmtId="0" fontId="4" fillId="0" borderId="6" xfId="0" applyFont="1" applyBorder="1" applyAlignment="1" applyProtection="1">
      <alignment horizontal="center"/>
      <protection locked="0"/>
    </xf>
    <xf numFmtId="17" fontId="8" fillId="2" borderId="8" xfId="1" applyNumberFormat="1" applyFont="1" applyFill="1" applyBorder="1" applyAlignment="1" applyProtection="1">
      <alignment horizontal="center" vertical="center"/>
      <protection locked="0"/>
    </xf>
    <xf numFmtId="0" fontId="8" fillId="2" borderId="6" xfId="1" applyFont="1" applyFill="1" applyBorder="1" applyAlignment="1" applyProtection="1">
      <alignment horizontal="center" vertical="center"/>
      <protection locked="0"/>
    </xf>
    <xf numFmtId="0" fontId="8" fillId="2" borderId="13" xfId="0" applyFont="1" applyFill="1" applyBorder="1" applyAlignment="1" applyProtection="1">
      <alignment horizontal="center" vertical="center" textRotation="90" wrapText="1"/>
      <protection locked="0"/>
    </xf>
    <xf numFmtId="0" fontId="8" fillId="2" borderId="15" xfId="0" applyFont="1" applyFill="1" applyBorder="1" applyAlignment="1" applyProtection="1">
      <alignment horizontal="center" vertical="center" textRotation="90" wrapText="1"/>
      <protection locked="0"/>
    </xf>
    <xf numFmtId="0" fontId="6" fillId="6" borderId="7" xfId="0" applyFont="1" applyFill="1" applyBorder="1" applyAlignment="1">
      <alignment horizontal="center" vertical="center"/>
    </xf>
    <xf numFmtId="0" fontId="6" fillId="6" borderId="32" xfId="0" applyFont="1" applyFill="1" applyBorder="1" applyAlignment="1">
      <alignment horizontal="center" vertical="center"/>
    </xf>
    <xf numFmtId="0" fontId="5" fillId="6" borderId="40" xfId="0" applyFont="1" applyFill="1" applyBorder="1" applyAlignment="1">
      <alignment horizontal="left" vertical="center"/>
    </xf>
    <xf numFmtId="0" fontId="5" fillId="6" borderId="58" xfId="0" applyFont="1" applyFill="1" applyBorder="1" applyAlignment="1">
      <alignment horizontal="left" vertical="center"/>
    </xf>
    <xf numFmtId="0" fontId="6" fillId="6" borderId="40" xfId="0" applyFont="1" applyFill="1" applyBorder="1" applyAlignment="1">
      <alignment horizontal="center" vertical="center"/>
    </xf>
    <xf numFmtId="0" fontId="5" fillId="2" borderId="31" xfId="0" applyFont="1" applyFill="1" applyBorder="1" applyAlignment="1" applyProtection="1">
      <alignment horizontal="left"/>
      <protection locked="0"/>
    </xf>
    <xf numFmtId="0" fontId="5" fillId="2" borderId="7" xfId="0" applyFont="1" applyFill="1" applyBorder="1" applyAlignment="1" applyProtection="1">
      <alignment horizontal="left"/>
      <protection locked="0"/>
    </xf>
    <xf numFmtId="0" fontId="5" fillId="2" borderId="32" xfId="0" applyFont="1" applyFill="1" applyBorder="1" applyAlignment="1" applyProtection="1">
      <alignment horizontal="left"/>
      <protection locked="0"/>
    </xf>
    <xf numFmtId="0" fontId="5" fillId="2" borderId="33" xfId="0" applyFont="1" applyFill="1" applyBorder="1" applyAlignment="1" applyProtection="1">
      <alignment horizontal="left" wrapText="1"/>
      <protection locked="0"/>
    </xf>
    <xf numFmtId="0" fontId="5" fillId="2" borderId="34" xfId="0" applyFont="1" applyFill="1" applyBorder="1" applyAlignment="1" applyProtection="1">
      <alignment horizontal="left" wrapText="1"/>
      <protection locked="0"/>
    </xf>
    <xf numFmtId="0" fontId="5" fillId="2" borderId="35" xfId="0" applyFont="1" applyFill="1" applyBorder="1" applyAlignment="1" applyProtection="1">
      <alignment horizontal="left" wrapText="1"/>
      <protection locked="0"/>
    </xf>
    <xf numFmtId="0" fontId="5" fillId="2" borderId="3" xfId="0" applyFont="1" applyFill="1" applyBorder="1" applyAlignment="1" applyProtection="1">
      <alignment horizontal="left"/>
      <protection locked="0"/>
    </xf>
    <xf numFmtId="0" fontId="5" fillId="2" borderId="4" xfId="0" applyFont="1" applyFill="1" applyBorder="1" applyAlignment="1" applyProtection="1">
      <alignment horizontal="left"/>
      <protection locked="0"/>
    </xf>
    <xf numFmtId="0" fontId="5" fillId="2" borderId="54" xfId="0" applyFont="1" applyFill="1" applyBorder="1" applyAlignment="1" applyProtection="1">
      <alignment horizontal="left"/>
      <protection locked="0"/>
    </xf>
    <xf numFmtId="0" fontId="6" fillId="2" borderId="28" xfId="0" applyFont="1" applyFill="1" applyBorder="1" applyAlignment="1" applyProtection="1">
      <alignment horizontal="left" wrapText="1"/>
      <protection locked="0"/>
    </xf>
    <xf numFmtId="0" fontId="6" fillId="2" borderId="29" xfId="0" applyFont="1" applyFill="1" applyBorder="1" applyAlignment="1" applyProtection="1">
      <alignment horizontal="left" wrapText="1"/>
      <protection locked="0"/>
    </xf>
    <xf numFmtId="0" fontId="6" fillId="2" borderId="30" xfId="0" applyFont="1" applyFill="1" applyBorder="1" applyAlignment="1" applyProtection="1">
      <alignment horizontal="left" wrapText="1"/>
      <protection locked="0"/>
    </xf>
    <xf numFmtId="0" fontId="5" fillId="2" borderId="25" xfId="0" applyFont="1" applyFill="1" applyBorder="1" applyAlignment="1" applyProtection="1">
      <alignment horizontal="left"/>
      <protection locked="0"/>
    </xf>
    <xf numFmtId="0" fontId="5" fillId="2" borderId="26" xfId="0" applyFont="1" applyFill="1" applyBorder="1" applyAlignment="1" applyProtection="1">
      <alignment horizontal="left"/>
      <protection locked="0"/>
    </xf>
    <xf numFmtId="0" fontId="5" fillId="2" borderId="55" xfId="0" applyFont="1" applyFill="1" applyBorder="1" applyAlignment="1" applyProtection="1">
      <alignment horizontal="left"/>
      <protection locked="0"/>
    </xf>
    <xf numFmtId="0" fontId="6" fillId="2" borderId="36" xfId="0" applyFont="1" applyFill="1" applyBorder="1" applyAlignment="1" applyProtection="1">
      <alignment horizontal="left" wrapText="1"/>
      <protection locked="0"/>
    </xf>
    <xf numFmtId="0" fontId="6" fillId="2" borderId="37" xfId="0" applyFont="1" applyFill="1" applyBorder="1" applyAlignment="1" applyProtection="1">
      <alignment horizontal="left" wrapText="1"/>
      <protection locked="0"/>
    </xf>
    <xf numFmtId="0" fontId="6" fillId="2" borderId="52" xfId="0" applyFont="1" applyFill="1" applyBorder="1" applyAlignment="1" applyProtection="1">
      <alignment horizontal="left" wrapText="1"/>
      <protection locked="0"/>
    </xf>
    <xf numFmtId="166" fontId="5" fillId="0" borderId="47" xfId="0" applyNumberFormat="1" applyFont="1" applyBorder="1" applyAlignment="1" applyProtection="1">
      <alignment horizontal="left" vertical="center"/>
      <protection locked="0"/>
    </xf>
    <xf numFmtId="166" fontId="5" fillId="0" borderId="45" xfId="0" applyNumberFormat="1" applyFont="1" applyBorder="1" applyAlignment="1" applyProtection="1">
      <alignment horizontal="left" vertical="center"/>
      <protection locked="0"/>
    </xf>
    <xf numFmtId="0" fontId="5" fillId="0" borderId="17" xfId="0" applyFont="1" applyBorder="1" applyAlignment="1" applyProtection="1">
      <alignment horizontal="left" vertical="center"/>
      <protection locked="0"/>
    </xf>
    <xf numFmtId="0" fontId="5" fillId="0" borderId="22" xfId="0" applyFont="1" applyBorder="1" applyAlignment="1" applyProtection="1">
      <alignment horizontal="left" vertical="center"/>
      <protection locked="0"/>
    </xf>
    <xf numFmtId="0" fontId="5" fillId="0" borderId="20" xfId="0" applyFont="1" applyBorder="1" applyAlignment="1" applyProtection="1">
      <alignment horizontal="left" vertical="center"/>
      <protection locked="0"/>
    </xf>
    <xf numFmtId="166" fontId="5" fillId="0" borderId="33" xfId="0" applyNumberFormat="1" applyFont="1" applyBorder="1" applyAlignment="1" applyProtection="1">
      <alignment horizontal="left" vertical="center"/>
      <protection locked="0"/>
    </xf>
    <xf numFmtId="166" fontId="5" fillId="0" borderId="34" xfId="0" applyNumberFormat="1" applyFont="1" applyBorder="1" applyAlignment="1" applyProtection="1">
      <alignment horizontal="left" vertical="center"/>
      <protection locked="0"/>
    </xf>
    <xf numFmtId="0" fontId="5" fillId="0" borderId="2" xfId="0" applyFont="1" applyBorder="1" applyAlignment="1" applyProtection="1">
      <alignment horizontal="left" vertical="center"/>
      <protection locked="0"/>
    </xf>
    <xf numFmtId="0" fontId="5" fillId="0" borderId="0" xfId="0" applyFont="1" applyAlignment="1" applyProtection="1">
      <alignment horizontal="left" vertical="center"/>
      <protection locked="0"/>
    </xf>
    <xf numFmtId="0" fontId="5" fillId="0" borderId="19" xfId="0" applyFont="1" applyBorder="1" applyAlignment="1" applyProtection="1">
      <alignment horizontal="left" vertical="center"/>
      <protection locked="0"/>
    </xf>
    <xf numFmtId="166" fontId="5" fillId="0" borderId="2" xfId="0" applyNumberFormat="1" applyFont="1" applyBorder="1" applyAlignment="1" applyProtection="1">
      <alignment horizontal="left" vertical="center"/>
      <protection locked="0"/>
    </xf>
    <xf numFmtId="166" fontId="5" fillId="0" borderId="19" xfId="0" applyNumberFormat="1" applyFont="1" applyBorder="1" applyAlignment="1" applyProtection="1">
      <alignment horizontal="left" vertical="center"/>
      <protection locked="0"/>
    </xf>
    <xf numFmtId="0" fontId="6" fillId="7" borderId="55" xfId="0" applyFont="1" applyFill="1" applyBorder="1" applyAlignment="1">
      <alignment horizontal="center" vertical="center"/>
    </xf>
    <xf numFmtId="0" fontId="6" fillId="7" borderId="48" xfId="0" applyFont="1" applyFill="1" applyBorder="1" applyAlignment="1">
      <alignment horizontal="center" vertical="center"/>
    </xf>
    <xf numFmtId="0" fontId="5" fillId="7" borderId="59" xfId="0" applyFont="1" applyFill="1" applyBorder="1" applyAlignment="1">
      <alignment horizontal="left" vertical="center"/>
    </xf>
    <xf numFmtId="0" fontId="5" fillId="7" borderId="60" xfId="0" applyFont="1" applyFill="1" applyBorder="1" applyAlignment="1">
      <alignment horizontal="left" vertical="center"/>
    </xf>
    <xf numFmtId="0" fontId="5" fillId="7" borderId="61" xfId="0" applyFont="1" applyFill="1" applyBorder="1" applyAlignment="1">
      <alignment horizontal="left" vertical="center"/>
    </xf>
    <xf numFmtId="166" fontId="5" fillId="0" borderId="17" xfId="0" applyNumberFormat="1" applyFont="1" applyBorder="1" applyAlignment="1" applyProtection="1">
      <alignment horizontal="left" vertical="center" wrapText="1"/>
      <protection locked="0"/>
    </xf>
    <xf numFmtId="166" fontId="5" fillId="0" borderId="22" xfId="0" applyNumberFormat="1" applyFont="1" applyBorder="1" applyAlignment="1" applyProtection="1">
      <alignment horizontal="left" vertical="center" wrapText="1"/>
      <protection locked="0"/>
    </xf>
    <xf numFmtId="166" fontId="5" fillId="0" borderId="20" xfId="0" applyNumberFormat="1" applyFont="1" applyBorder="1" applyAlignment="1" applyProtection="1">
      <alignment horizontal="left" vertical="center" wrapText="1"/>
      <protection locked="0"/>
    </xf>
    <xf numFmtId="166" fontId="5" fillId="0" borderId="18" xfId="0" applyNumberFormat="1" applyFont="1" applyBorder="1" applyAlignment="1" applyProtection="1">
      <alignment horizontal="left" vertical="center" wrapText="1"/>
      <protection locked="0"/>
    </xf>
    <xf numFmtId="166" fontId="5" fillId="0" borderId="16" xfId="0" applyNumberFormat="1" applyFont="1" applyBorder="1" applyAlignment="1" applyProtection="1">
      <alignment horizontal="left" vertical="center" wrapText="1"/>
      <protection locked="0"/>
    </xf>
    <xf numFmtId="166" fontId="5" fillId="0" borderId="21" xfId="0" applyNumberFormat="1" applyFont="1" applyBorder="1" applyAlignment="1" applyProtection="1">
      <alignment horizontal="left" vertical="center" wrapText="1"/>
      <protection locked="0"/>
    </xf>
    <xf numFmtId="166" fontId="5" fillId="0" borderId="36" xfId="0" applyNumberFormat="1" applyFont="1" applyBorder="1" applyAlignment="1" applyProtection="1">
      <alignment horizontal="left" vertical="center"/>
      <protection locked="0"/>
    </xf>
    <xf numFmtId="166" fontId="5" fillId="0" borderId="37" xfId="0" applyNumberFormat="1" applyFont="1" applyBorder="1" applyAlignment="1" applyProtection="1">
      <alignment horizontal="left" vertical="center"/>
      <protection locked="0"/>
    </xf>
    <xf numFmtId="166" fontId="5" fillId="0" borderId="18" xfId="0" applyNumberFormat="1" applyFont="1" applyBorder="1" applyAlignment="1" applyProtection="1">
      <alignment horizontal="left" vertical="center"/>
      <protection locked="0"/>
    </xf>
    <xf numFmtId="166" fontId="5" fillId="0" borderId="16" xfId="0" applyNumberFormat="1" applyFont="1" applyBorder="1" applyAlignment="1" applyProtection="1">
      <alignment horizontal="left" vertical="center"/>
      <protection locked="0"/>
    </xf>
    <xf numFmtId="166" fontId="5" fillId="0" borderId="21" xfId="0" applyNumberFormat="1" applyFont="1" applyBorder="1" applyAlignment="1" applyProtection="1">
      <alignment horizontal="left" vertical="center"/>
      <protection locked="0"/>
    </xf>
    <xf numFmtId="0" fontId="5" fillId="0" borderId="47" xfId="0" applyFont="1" applyBorder="1" applyAlignment="1" applyProtection="1">
      <alignment horizontal="left" vertical="center"/>
      <protection locked="0"/>
    </xf>
    <xf numFmtId="0" fontId="5" fillId="0" borderId="45" xfId="0" applyFont="1" applyBorder="1" applyAlignment="1" applyProtection="1">
      <alignment horizontal="left" vertical="center"/>
      <protection locked="0"/>
    </xf>
    <xf numFmtId="0" fontId="5" fillId="0" borderId="44" xfId="0" applyFont="1" applyBorder="1" applyAlignment="1" applyProtection="1">
      <alignment horizontal="left" vertical="center"/>
      <protection locked="0"/>
    </xf>
    <xf numFmtId="0" fontId="5" fillId="0" borderId="41" xfId="0" applyFont="1" applyBorder="1" applyAlignment="1" applyProtection="1">
      <alignment horizontal="left" vertical="center"/>
      <protection locked="0"/>
    </xf>
    <xf numFmtId="0" fontId="5" fillId="0" borderId="46" xfId="0" applyFont="1" applyBorder="1" applyAlignment="1" applyProtection="1">
      <alignment horizontal="left" vertical="center"/>
      <protection locked="0"/>
    </xf>
    <xf numFmtId="0" fontId="5" fillId="0" borderId="42" xfId="0" applyFont="1" applyBorder="1" applyAlignment="1" applyProtection="1">
      <alignment horizontal="left" vertical="center"/>
      <protection locked="0"/>
    </xf>
    <xf numFmtId="0" fontId="8" fillId="7" borderId="54" xfId="0" applyFont="1" applyFill="1" applyBorder="1" applyAlignment="1">
      <alignment horizontal="center" vertical="center"/>
    </xf>
    <xf numFmtId="0" fontId="8" fillId="7" borderId="43" xfId="0" applyFont="1" applyFill="1" applyBorder="1" applyAlignment="1">
      <alignment horizontal="center" vertical="center"/>
    </xf>
    <xf numFmtId="0" fontId="7" fillId="7" borderId="40" xfId="0" applyFont="1" applyFill="1" applyBorder="1" applyAlignment="1">
      <alignment horizontal="left" vertical="center"/>
    </xf>
    <xf numFmtId="0" fontId="7" fillId="7" borderId="58" xfId="0" applyFont="1" applyFill="1" applyBorder="1" applyAlignment="1">
      <alignment horizontal="left" vertical="center"/>
    </xf>
    <xf numFmtId="0" fontId="6" fillId="0" borderId="7" xfId="0" applyFont="1" applyBorder="1" applyAlignment="1">
      <alignment horizontal="center" vertical="center"/>
    </xf>
    <xf numFmtId="0" fontId="5" fillId="0" borderId="67" xfId="0" applyFont="1" applyBorder="1" applyAlignment="1">
      <alignment horizontal="left" vertical="center"/>
    </xf>
    <xf numFmtId="0" fontId="5" fillId="0" borderId="68" xfId="0" applyFont="1" applyBorder="1" applyAlignment="1">
      <alignment horizontal="left" vertical="center"/>
    </xf>
    <xf numFmtId="0" fontId="6" fillId="0" borderId="55" xfId="0" applyFont="1" applyBorder="1" applyAlignment="1">
      <alignment horizontal="center" vertical="center"/>
    </xf>
    <xf numFmtId="0" fontId="6" fillId="0" borderId="48" xfId="0" applyFont="1" applyBorder="1" applyAlignment="1">
      <alignment horizontal="center" vertical="center"/>
    </xf>
    <xf numFmtId="0" fontId="5" fillId="0" borderId="70" xfId="0" applyFont="1" applyBorder="1" applyAlignment="1">
      <alignment horizontal="left" vertical="center"/>
    </xf>
    <xf numFmtId="0" fontId="5" fillId="0" borderId="71" xfId="0" applyFont="1" applyBorder="1" applyAlignment="1">
      <alignment horizontal="left" vertical="center"/>
    </xf>
    <xf numFmtId="0" fontId="8" fillId="0" borderId="54" xfId="0" applyFont="1" applyBorder="1" applyAlignment="1">
      <alignment horizontal="center" vertical="center"/>
    </xf>
    <xf numFmtId="0" fontId="8" fillId="0" borderId="43" xfId="0" applyFont="1" applyBorder="1" applyAlignment="1">
      <alignment horizontal="center" vertical="center"/>
    </xf>
    <xf numFmtId="0" fontId="7" fillId="0" borderId="40" xfId="0" applyFont="1" applyBorder="1" applyAlignment="1">
      <alignment horizontal="left" vertical="center"/>
    </xf>
    <xf numFmtId="0" fontId="7" fillId="0" borderId="58" xfId="0" applyFont="1" applyBorder="1" applyAlignment="1">
      <alignment horizontal="left" vertical="center"/>
    </xf>
    <xf numFmtId="0" fontId="32" fillId="0" borderId="63" xfId="0" applyFont="1" applyFill="1" applyBorder="1" applyProtection="1">
      <protection locked="0"/>
    </xf>
    <xf numFmtId="0" fontId="17" fillId="0" borderId="63" xfId="0" applyFont="1" applyBorder="1" applyAlignment="1" applyProtection="1">
      <alignment wrapText="1"/>
      <protection locked="0"/>
    </xf>
    <xf numFmtId="0" fontId="24" fillId="0" borderId="63" xfId="0" applyFont="1" applyBorder="1" applyAlignment="1" applyProtection="1">
      <alignment wrapText="1"/>
      <protection locked="0"/>
    </xf>
  </cellXfs>
  <cellStyles count="6">
    <cellStyle name="Comma" xfId="5" builtinId="3"/>
    <cellStyle name="Hyperlink" xfId="3" builtinId="8"/>
    <cellStyle name="Hyperlink 2" xfId="4" xr:uid="{F1137835-6B37-4ADF-ADEC-47C36046D535}"/>
    <cellStyle name="Normal" xfId="0" builtinId="0"/>
    <cellStyle name="Style 4" xfId="1" xr:uid="{D5713395-3767-4C16-B308-075992A21AF7}"/>
    <cellStyle name="Style 5" xfId="2" xr:uid="{517D08A1-3B1A-4827-BF7C-E30987C0ECFB}"/>
  </cellStyles>
  <dxfs count="60">
    <dxf>
      <fill>
        <patternFill patternType="none">
          <fgColor indexed="64"/>
          <bgColor auto="1"/>
        </patternFill>
      </fill>
      <border diagonalUp="0" diagonalDown="0" outline="0">
        <left style="thin">
          <color indexed="64"/>
        </left>
        <right style="thin">
          <color indexed="64"/>
        </right>
        <top style="thin">
          <color auto="1"/>
        </top>
        <bottom style="thin">
          <color auto="1"/>
        </bottom>
      </border>
    </dxf>
    <dxf>
      <fill>
        <patternFill patternType="none">
          <fgColor indexed="64"/>
          <bgColor auto="1"/>
        </patternFill>
      </fill>
      <border diagonalUp="0" diagonalDown="0" outline="0">
        <left style="thin">
          <color indexed="64"/>
        </left>
        <right style="thin">
          <color indexed="64"/>
        </right>
        <top style="thin">
          <color auto="1"/>
        </top>
        <bottom style="thin">
          <color auto="1"/>
        </bottom>
      </border>
    </dxf>
    <dxf>
      <fill>
        <patternFill patternType="none">
          <fgColor indexed="64"/>
          <bgColor auto="1"/>
        </patternFill>
      </fill>
      <border diagonalUp="0" diagonalDown="0"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auto="1"/>
        </top>
        <bottom style="thin">
          <color auto="1"/>
        </bottom>
      </border>
      <protection locked="0" hidden="0"/>
    </dxf>
    <dxf>
      <fill>
        <patternFill patternType="none">
          <fgColor indexed="64"/>
          <bgColor auto="1"/>
        </patternFill>
      </fill>
      <alignment textRotation="0" wrapText="1" indent="0" justifyLastLine="0" shrinkToFit="0" readingOrder="0"/>
      <border diagonalUp="0" diagonalDown="0"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auto="1"/>
        </top>
        <bottom style="thin">
          <color auto="1"/>
        </bottom>
      </border>
      <protection locked="0" hidden="0"/>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auto="1"/>
        </top>
        <bottom style="thin">
          <color auto="1"/>
        </bottom>
      </border>
      <protection locked="0" hidden="0"/>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auto="1"/>
        </top>
        <bottom style="thin">
          <color auto="1"/>
        </bottom>
      </border>
      <protection locked="0" hidden="0"/>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auto="1"/>
        </top>
        <bottom style="thin">
          <color auto="1"/>
        </bottom>
      </border>
      <protection locked="0" hidden="0"/>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medium">
          <color indexed="64"/>
        </left>
        <right style="thin">
          <color indexed="64"/>
        </right>
        <top style="thin">
          <color auto="1"/>
        </top>
        <bottom style="thin">
          <color auto="1"/>
        </bottom>
      </border>
      <protection locked="0" hidden="0"/>
    </dxf>
    <dxf>
      <fill>
        <patternFill patternType="none">
          <fgColor indexed="64"/>
          <bgColor auto="1"/>
        </patternFill>
      </fill>
      <alignment horizontal="center" vertical="center" textRotation="0" wrapText="1" indent="0" justifyLastLine="0" shrinkToFit="0" readingOrder="0"/>
      <border diagonalUp="0" diagonalDown="0" outline="0">
        <left style="medium">
          <color rgb="FF000000"/>
        </left>
        <right style="medium">
          <color rgb="FF000000"/>
        </right>
        <top style="thin">
          <color rgb="FF000000"/>
        </top>
        <bottom style="thin">
          <color rgb="FF000000"/>
        </bottom>
      </border>
      <protection locked="0" hidden="0"/>
    </dxf>
    <dxf>
      <font>
        <b val="0"/>
        <i val="0"/>
        <strike val="0"/>
        <condense val="0"/>
        <extend val="0"/>
        <outline val="0"/>
        <shadow val="0"/>
        <u val="none"/>
        <vertAlign val="baseline"/>
        <sz val="10"/>
        <color theme="1"/>
        <name val="Calibri"/>
        <family val="2"/>
        <scheme val="minor"/>
      </font>
      <numFmt numFmtId="166" formatCode="[$-418]d\ mmmm\ yyyy;@"/>
      <fill>
        <patternFill patternType="none">
          <fgColor indexed="64"/>
          <bgColor auto="1"/>
        </patternFill>
      </fill>
      <alignment horizontal="center" vertical="center" textRotation="0" wrapText="0" indent="0" justifyLastLine="0" shrinkToFit="0" readingOrder="0"/>
      <border diagonalUp="0" diagonalDown="0" outline="0">
        <left style="medium">
          <color rgb="FF000000"/>
        </left>
        <right style="medium">
          <color rgb="FF000000"/>
        </right>
        <top style="thin">
          <color rgb="FF000000"/>
        </top>
        <bottom style="thin">
          <color rgb="FF000000"/>
        </bottom>
      </border>
      <protection locked="0" hidden="0"/>
    </dxf>
    <dxf>
      <border outline="0">
        <left style="medium">
          <color rgb="FF000000"/>
        </left>
        <right style="medium">
          <color rgb="FF000000"/>
        </right>
      </border>
    </dxf>
    <dxf>
      <fill>
        <patternFill patternType="none">
          <fgColor indexed="64"/>
          <bgColor auto="1"/>
        </patternFill>
      </fill>
    </dxf>
    <dxf>
      <font>
        <b/>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protection locked="0" hidden="0"/>
    </dxf>
    <dxf>
      <fill>
        <patternFill patternType="none">
          <fgColor indexed="64"/>
          <bgColor auto="1"/>
        </patternFill>
      </fill>
      <border diagonalUp="0" diagonalDown="0" outline="0">
        <left style="thin">
          <color indexed="64"/>
        </left>
        <right style="thin">
          <color indexed="64"/>
        </right>
        <top style="thin">
          <color auto="1"/>
        </top>
        <bottom style="thin">
          <color auto="1"/>
        </bottom>
      </border>
    </dxf>
    <dxf>
      <fill>
        <patternFill patternType="none">
          <fgColor indexed="64"/>
          <bgColor auto="1"/>
        </patternFill>
      </fill>
      <border diagonalUp="0" diagonalDown="0" outline="0">
        <left style="thin">
          <color indexed="64"/>
        </left>
        <right style="thin">
          <color indexed="64"/>
        </right>
        <top style="thin">
          <color auto="1"/>
        </top>
        <bottom style="thin">
          <color auto="1"/>
        </bottom>
      </border>
    </dxf>
    <dxf>
      <fill>
        <patternFill patternType="none">
          <fgColor indexed="64"/>
          <bgColor auto="1"/>
        </patternFill>
      </fill>
      <border diagonalUp="0" diagonalDown="0"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auto="1"/>
        </top>
        <bottom style="thin">
          <color auto="1"/>
        </bottom>
      </border>
      <protection locked="0" hidden="0"/>
    </dxf>
    <dxf>
      <fill>
        <patternFill patternType="none">
          <fgColor indexed="64"/>
          <bgColor auto="1"/>
        </patternFill>
      </fill>
      <alignment textRotation="0" wrapText="1" indent="0" justifyLastLine="0" shrinkToFit="0" readingOrder="0"/>
      <border diagonalUp="0" diagonalDown="0"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auto="1"/>
        </top>
        <bottom style="thin">
          <color auto="1"/>
        </bottom>
      </border>
      <protection locked="0" hidden="0"/>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auto="1"/>
        </top>
        <bottom style="thin">
          <color auto="1"/>
        </bottom>
      </border>
      <protection locked="0" hidden="0"/>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auto="1"/>
        </top>
        <bottom style="thin">
          <color auto="1"/>
        </bottom>
      </border>
      <protection locked="0" hidden="0"/>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medium">
          <color indexed="64"/>
        </left>
        <right style="thin">
          <color indexed="64"/>
        </right>
        <top style="thin">
          <color auto="1"/>
        </top>
        <bottom style="thin">
          <color auto="1"/>
        </bottom>
      </border>
      <protection locked="0" hidden="0"/>
    </dxf>
    <dxf>
      <fill>
        <patternFill patternType="none">
          <fgColor indexed="64"/>
          <bgColor auto="1"/>
        </patternFill>
      </fill>
      <alignment horizontal="center" vertical="center" textRotation="0" wrapText="1" indent="0" justifyLastLine="0" shrinkToFit="0" readingOrder="0"/>
      <border diagonalUp="0" diagonalDown="0" outline="0">
        <left style="medium">
          <color rgb="FF000000"/>
        </left>
        <right style="medium">
          <color rgb="FF000000"/>
        </right>
        <top style="thin">
          <color rgb="FF000000"/>
        </top>
        <bottom style="thin">
          <color rgb="FF000000"/>
        </bottom>
      </border>
      <protection locked="0" hidden="0"/>
    </dxf>
    <dxf>
      <font>
        <b val="0"/>
        <i val="0"/>
        <strike val="0"/>
        <condense val="0"/>
        <extend val="0"/>
        <outline val="0"/>
        <shadow val="0"/>
        <u val="none"/>
        <vertAlign val="baseline"/>
        <sz val="10"/>
        <color theme="1"/>
        <name val="Calibri"/>
        <family val="2"/>
        <scheme val="minor"/>
      </font>
      <numFmt numFmtId="166" formatCode="[$-418]d\ mmmm\ yyyy;@"/>
      <fill>
        <patternFill patternType="none">
          <fgColor indexed="64"/>
          <bgColor auto="1"/>
        </patternFill>
      </fill>
      <alignment horizontal="center" vertical="center" textRotation="0" wrapText="0" indent="0" justifyLastLine="0" shrinkToFit="0" readingOrder="0"/>
      <border diagonalUp="0" diagonalDown="0" outline="0">
        <left style="medium">
          <color rgb="FF000000"/>
        </left>
        <right style="medium">
          <color rgb="FF000000"/>
        </right>
        <top style="thin">
          <color rgb="FF000000"/>
        </top>
        <bottom style="thin">
          <color rgb="FF000000"/>
        </bottom>
      </border>
      <protection locked="0" hidden="0"/>
    </dxf>
    <dxf>
      <border outline="0">
        <left style="medium">
          <color rgb="FF000000"/>
        </left>
        <right style="medium">
          <color rgb="FF000000"/>
        </right>
      </border>
    </dxf>
    <dxf>
      <fill>
        <patternFill patternType="none">
          <fgColor indexed="64"/>
          <bgColor auto="1"/>
        </patternFill>
      </fill>
    </dxf>
    <dxf>
      <font>
        <b/>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protection locked="0" hidden="0"/>
    </dxf>
    <dxf>
      <fill>
        <patternFill patternType="none">
          <fgColor indexed="64"/>
          <bgColor auto="1"/>
        </patternFill>
      </fill>
      <border diagonalUp="0" diagonalDown="0">
        <left style="thin">
          <color indexed="64"/>
        </left>
        <right style="thin">
          <color indexed="64"/>
        </right>
        <top style="thin">
          <color auto="1"/>
        </top>
        <bottom style="thin">
          <color auto="1"/>
        </bottom>
        <vertical style="thin">
          <color indexed="64"/>
        </vertical>
        <horizontal style="thin">
          <color auto="1"/>
        </horizontal>
      </border>
    </dxf>
    <dxf>
      <fill>
        <patternFill patternType="none">
          <fgColor indexed="64"/>
          <bgColor auto="1"/>
        </patternFill>
      </fill>
      <border diagonalUp="0" diagonalDown="0">
        <left style="thin">
          <color indexed="64"/>
        </left>
        <right style="thin">
          <color indexed="64"/>
        </right>
        <top style="thin">
          <color auto="1"/>
        </top>
        <bottom style="thin">
          <color auto="1"/>
        </bottom>
        <vertical style="thin">
          <color indexed="64"/>
        </vertical>
        <horizontal style="thin">
          <color auto="1"/>
        </horizontal>
      </border>
    </dxf>
    <dxf>
      <fill>
        <patternFill patternType="none">
          <fgColor indexed="64"/>
          <bgColor auto="1"/>
        </patternFill>
      </fill>
      <border diagonalUp="0" diagonalDown="0">
        <left style="thin">
          <color indexed="64"/>
        </left>
        <right style="thin">
          <color indexed="64"/>
        </right>
        <top style="thin">
          <color auto="1"/>
        </top>
        <bottom style="thin">
          <color auto="1"/>
        </bottom>
        <vertical style="thin">
          <color indexed="64"/>
        </vertical>
        <horizontal style="thin">
          <color auto="1"/>
        </horizontal>
      </border>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protection locked="0" hidden="0"/>
    </dxf>
    <dxf>
      <fill>
        <patternFill patternType="none">
          <fgColor indexed="64"/>
          <bgColor auto="1"/>
        </patternFill>
      </fill>
      <alignment textRotation="0" wrapText="1"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protection locked="0" hidden="0"/>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protection locked="0" hidden="0"/>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protection locked="0" hidden="0"/>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protection locked="0" hidden="0"/>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left style="medium">
          <color indexed="64"/>
        </left>
        <right style="thin">
          <color indexed="64"/>
        </right>
        <top style="thin">
          <color auto="1"/>
        </top>
        <bottom style="thin">
          <color auto="1"/>
        </bottom>
        <vertical style="thin">
          <color indexed="64"/>
        </vertical>
        <horizontal style="thin">
          <color auto="1"/>
        </horizontal>
      </border>
      <protection locked="0" hidden="0"/>
    </dxf>
    <dxf>
      <fill>
        <patternFill patternType="none">
          <fgColor indexed="64"/>
          <bgColor auto="1"/>
        </patternFill>
      </fill>
      <alignment horizontal="center" vertical="center" textRotation="0" wrapText="1" indent="0" justifyLastLine="0" shrinkToFit="0" readingOrder="0"/>
      <border diagonalUp="0" diagonalDown="0" outline="0">
        <left style="medium">
          <color rgb="FF000000"/>
        </left>
        <right style="medium">
          <color rgb="FF000000"/>
        </right>
        <top style="thin">
          <color rgb="FF000000"/>
        </top>
        <bottom style="thin">
          <color rgb="FF000000"/>
        </bottom>
      </border>
      <protection locked="0" hidden="0"/>
    </dxf>
    <dxf>
      <font>
        <b val="0"/>
        <i val="0"/>
        <strike val="0"/>
        <condense val="0"/>
        <extend val="0"/>
        <outline val="0"/>
        <shadow val="0"/>
        <u val="none"/>
        <vertAlign val="baseline"/>
        <sz val="10"/>
        <color theme="1"/>
        <name val="Calibri"/>
        <family val="2"/>
        <scheme val="minor"/>
      </font>
      <numFmt numFmtId="166" formatCode="[$-418]d\ mmmm\ yyyy;@"/>
      <fill>
        <patternFill patternType="none">
          <fgColor indexed="64"/>
          <bgColor auto="1"/>
        </patternFill>
      </fill>
      <alignment horizontal="center" vertical="center" textRotation="0" wrapText="0" indent="0" justifyLastLine="0" shrinkToFit="0" readingOrder="0"/>
      <border diagonalUp="0" diagonalDown="0" outline="0">
        <left style="medium">
          <color rgb="FF000000"/>
        </left>
        <right style="medium">
          <color rgb="FF000000"/>
        </right>
        <top style="thin">
          <color rgb="FF000000"/>
        </top>
        <bottom style="thin">
          <color rgb="FF000000"/>
        </bottom>
      </border>
      <protection locked="0" hidden="0"/>
    </dxf>
    <dxf>
      <border outline="0">
        <left style="medium">
          <color rgb="FF000000"/>
        </left>
        <right style="medium">
          <color rgb="FF000000"/>
        </right>
      </border>
    </dxf>
    <dxf>
      <fill>
        <patternFill patternType="none">
          <fgColor rgb="FF000000"/>
          <bgColor auto="1"/>
        </patternFill>
      </fill>
    </dxf>
    <dxf>
      <font>
        <b/>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protection locked="0" hidden="0"/>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wrapText="1" indent="0" justifyLastLine="0" shrinkToFit="0" readingOrder="0"/>
      <border diagonalUp="0" diagonalDown="0" outline="0">
        <left style="medium">
          <color rgb="FF000000"/>
        </left>
        <right style="medium">
          <color rgb="FF000000"/>
        </right>
        <top style="thin">
          <color rgb="FF000000"/>
        </top>
        <bottom style="thin">
          <color rgb="FF000000"/>
        </bottom>
      </border>
      <protection locked="0" hidden="0"/>
    </dxf>
    <dxf>
      <font>
        <b val="0"/>
        <i val="0"/>
        <strike val="0"/>
        <condense val="0"/>
        <extend val="0"/>
        <outline val="0"/>
        <shadow val="0"/>
        <u val="none"/>
        <vertAlign val="baseline"/>
        <sz val="10"/>
        <color theme="1"/>
        <name val="Calibri"/>
        <family val="2"/>
        <scheme val="minor"/>
      </font>
      <numFmt numFmtId="166" formatCode="[$-418]d\ mmmm\ yyyy;@"/>
      <fill>
        <patternFill patternType="none">
          <fgColor indexed="64"/>
          <bgColor auto="1"/>
        </patternFill>
      </fill>
      <alignment horizontal="center" vertical="center" textRotation="0" wrapText="0" indent="0" justifyLastLine="0" shrinkToFit="0" readingOrder="0"/>
      <border diagonalUp="0" diagonalDown="0" outline="0">
        <left style="medium">
          <color rgb="FF000000"/>
        </left>
        <right style="medium">
          <color rgb="FF000000"/>
        </right>
        <top style="thin">
          <color rgb="FF000000"/>
        </top>
        <bottom style="thin">
          <color rgb="FF000000"/>
        </bottom>
      </border>
      <protection locked="0" hidden="0"/>
    </dxf>
    <dxf>
      <border outline="0">
        <left style="medium">
          <color rgb="FF000000"/>
        </left>
        <right style="medium">
          <color rgb="FF000000"/>
        </right>
      </border>
    </dxf>
    <dxf>
      <fill>
        <patternFill patternType="none">
          <fgColor rgb="FF000000"/>
          <bgColor auto="1"/>
        </patternFill>
      </fill>
    </dxf>
    <dxf>
      <font>
        <b/>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protection locked="0" hidden="0"/>
    </dxf>
  </dxfs>
  <tableStyles count="0" defaultTableStyle="TableStyleMedium2" defaultPivotStyle="PivotStyleLight16"/>
  <colors>
    <mruColors>
      <color rgb="FFF06EF0"/>
      <color rgb="FFFF00FF"/>
      <color rgb="FFB1E0FD"/>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45</xdr:row>
      <xdr:rowOff>32658</xdr:rowOff>
    </xdr:from>
    <xdr:to>
      <xdr:col>38</xdr:col>
      <xdr:colOff>571500</xdr:colOff>
      <xdr:row>50</xdr:row>
      <xdr:rowOff>163455</xdr:rowOff>
    </xdr:to>
    <xdr:pic>
      <xdr:nvPicPr>
        <xdr:cNvPr id="2" name="Picture 1">
          <a:extLst>
            <a:ext uri="{FF2B5EF4-FFF2-40B4-BE49-F238E27FC236}">
              <a16:creationId xmlns:a16="http://schemas.microsoft.com/office/drawing/2014/main" id="{37B35B5A-02A2-4E9C-B297-ECFDE30A65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8065408"/>
          <a:ext cx="13442950" cy="95312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45</xdr:row>
      <xdr:rowOff>32658</xdr:rowOff>
    </xdr:from>
    <xdr:to>
      <xdr:col>38</xdr:col>
      <xdr:colOff>571500</xdr:colOff>
      <xdr:row>51</xdr:row>
      <xdr:rowOff>169</xdr:rowOff>
    </xdr:to>
    <xdr:pic>
      <xdr:nvPicPr>
        <xdr:cNvPr id="2" name="Picture 1">
          <a:extLst>
            <a:ext uri="{FF2B5EF4-FFF2-40B4-BE49-F238E27FC236}">
              <a16:creationId xmlns:a16="http://schemas.microsoft.com/office/drawing/2014/main" id="{AB0E3836-67AF-4E65-81D6-856335C88D1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8065408"/>
          <a:ext cx="13442950" cy="95312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45</xdr:row>
      <xdr:rowOff>32658</xdr:rowOff>
    </xdr:from>
    <xdr:to>
      <xdr:col>38</xdr:col>
      <xdr:colOff>571500</xdr:colOff>
      <xdr:row>50</xdr:row>
      <xdr:rowOff>160280</xdr:rowOff>
    </xdr:to>
    <xdr:pic>
      <xdr:nvPicPr>
        <xdr:cNvPr id="2" name="Picture 1">
          <a:extLst>
            <a:ext uri="{FF2B5EF4-FFF2-40B4-BE49-F238E27FC236}">
              <a16:creationId xmlns:a16="http://schemas.microsoft.com/office/drawing/2014/main" id="{335A5342-F7A7-4F00-AF88-03EE8094FE7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8065408"/>
          <a:ext cx="13442950" cy="95629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45</xdr:row>
      <xdr:rowOff>32658</xdr:rowOff>
    </xdr:from>
    <xdr:to>
      <xdr:col>38</xdr:col>
      <xdr:colOff>571500</xdr:colOff>
      <xdr:row>50</xdr:row>
      <xdr:rowOff>163455</xdr:rowOff>
    </xdr:to>
    <xdr:pic>
      <xdr:nvPicPr>
        <xdr:cNvPr id="2" name="Picture 1">
          <a:extLst>
            <a:ext uri="{FF2B5EF4-FFF2-40B4-BE49-F238E27FC236}">
              <a16:creationId xmlns:a16="http://schemas.microsoft.com/office/drawing/2014/main" id="{9E4C116B-9190-4B0C-8E4C-44F47570507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8065408"/>
          <a:ext cx="13442950" cy="95629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45</xdr:row>
      <xdr:rowOff>32658</xdr:rowOff>
    </xdr:from>
    <xdr:to>
      <xdr:col>38</xdr:col>
      <xdr:colOff>571500</xdr:colOff>
      <xdr:row>50</xdr:row>
      <xdr:rowOff>163455</xdr:rowOff>
    </xdr:to>
    <xdr:pic>
      <xdr:nvPicPr>
        <xdr:cNvPr id="2" name="Picture 1">
          <a:extLst>
            <a:ext uri="{FF2B5EF4-FFF2-40B4-BE49-F238E27FC236}">
              <a16:creationId xmlns:a16="http://schemas.microsoft.com/office/drawing/2014/main" id="{70DE232C-B09B-4A03-B949-8020000CEC8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8065408"/>
          <a:ext cx="13442950" cy="95629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932B050-E74D-4E3C-81FB-ABF85D0905BD}" name="ianuarie" displayName="ianuarie" ref="AO57:AZ92" totalsRowShown="0" headerRowDxfId="59" dataDxfId="58" tableBorderDxfId="57">
  <autoFilter ref="AO57:AZ92" xr:uid="{0A91E599-C44D-4171-819F-28480F23AFB7}"/>
  <tableColumns count="12">
    <tableColumn id="1" xr3:uid="{5C630111-BE5C-4F52-B18A-27777E045612}" name="ZIUA" dataDxfId="56">
      <calculatedColumnFormula>A58</calculatedColumnFormula>
    </tableColumn>
    <tableColumn id="2" xr3:uid="{CD5FC32A-7BFC-42CB-BAE1-7F3527302D35}" name="SUBACTIVITATE" dataDxfId="55">
      <calculatedColumnFormula>LEFT(D58,6)</calculatedColumnFormula>
    </tableColumn>
    <tableColumn id="3" xr3:uid="{9B5C0E97-35BC-4DA1-8211-61E7CF4BF8E4}" name="LIVRABIL COMUN (DA/NU)" dataDxfId="54"/>
    <tableColumn id="4" xr3:uid="{9B218E1D-6AE1-4CF0-8147-D2B3669ED4B0}" name="EXPERTI " dataDxfId="53"/>
    <tableColumn id="5" xr3:uid="{B79F665E-06D1-45C6-A641-3D627DC6F2A9}" name="STADIU LIVRABIL (in realizare/finalizat)" dataDxfId="52"/>
    <tableColumn id="6" xr3:uid="{537BF485-51C8-4D98-8345-DA30C4C40165}" name="RAPORT PRELIMINAR/MOM" dataDxfId="51"/>
    <tableColumn id="7" xr3:uid="{A17C31A6-8812-4F9A-BCEE-11A79B0012CA}" name="CATEGORIE LIVRABIL 1" dataDxfId="50"/>
    <tableColumn id="8" xr3:uid="{DC71F501-2AC0-4EB8-8144-DBB8800862FF}" name="LIVRABIL 1" dataDxfId="49"/>
    <tableColumn id="9" xr3:uid="{72C38DBB-7753-4276-BEE4-0B472F4A90D8}" name="CATEGORIE LIVRABIL 2" dataDxfId="48"/>
    <tableColumn id="10" xr3:uid="{5B5BC3DB-6192-4764-8F55-4CCD79934E60}" name="LIVRABIL 2" dataDxfId="47"/>
    <tableColumn id="11" xr3:uid="{A9DDF068-3CF8-4B02-8F4D-F10A59583A2C}" name="CATEGORIE LIVRABIL 3" dataDxfId="46"/>
    <tableColumn id="12" xr3:uid="{4E3ED69C-173A-4075-AEA4-8BAE7EE353EF}" name="LIVRABIL 3" dataDxfId="4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FCE66E-739A-4554-8B6C-1033329AB335}" name="iunie91012131223" displayName="iunie91012131223" ref="AO57:AZ88" totalsRowShown="0" headerRowDxfId="44" dataDxfId="43" tableBorderDxfId="42">
  <autoFilter ref="AO57:AZ88" xr:uid="{0A91E599-C44D-4171-819F-28480F23AFB7}"/>
  <tableColumns count="12">
    <tableColumn id="1" xr3:uid="{A0A537AE-CA07-4626-969A-DD202D8932CF}" name="ZIUA" dataDxfId="41">
      <calculatedColumnFormula>A58</calculatedColumnFormula>
    </tableColumn>
    <tableColumn id="2" xr3:uid="{9E204E5E-03DA-4C51-B383-B1FD8A467F04}" name="SUBACTIVITATE" dataDxfId="40">
      <calculatedColumnFormula>LEFT(D58,6)</calculatedColumnFormula>
    </tableColumn>
    <tableColumn id="3" xr3:uid="{80C18F20-9FD2-4A0D-A4D7-2B9D7D4A3CF7}" name="LIVRABIL COMUN (DA/NU)" dataDxfId="39"/>
    <tableColumn id="4" xr3:uid="{98CA134F-3F9C-44AC-AD61-154C014DBA90}" name="EXPERTI " dataDxfId="38"/>
    <tableColumn id="5" xr3:uid="{EEEB0DD9-6554-46A7-BD44-17AD2AC809DA}" name="STADIU LIVRABIL (in realizare/finalizat)" dataDxfId="37"/>
    <tableColumn id="6" xr3:uid="{986105C2-0FC7-4778-95FD-8A114A11FC76}" name="RAPORT PRELIMINAR/MOM" dataDxfId="36"/>
    <tableColumn id="7" xr3:uid="{65CF1976-E1B8-4D10-B970-3739440E39EE}" name="CATEGORIE LIVRABIL 1" dataDxfId="35"/>
    <tableColumn id="8" xr3:uid="{15D5464C-7DCA-47BF-B695-8953BBAD8763}" name="LIVRABIL 1" dataDxfId="34"/>
    <tableColumn id="9" xr3:uid="{F53C8263-9611-421C-832D-619ED9A0BB21}" name="CATEGORIE LIVRABIL 2" dataDxfId="33"/>
    <tableColumn id="10" xr3:uid="{65626D9F-E5B4-4C37-8DBC-C8E3E8AADFC5}" name="LIVRABIL 2" dataDxfId="32"/>
    <tableColumn id="11" xr3:uid="{7BA95943-DFFA-4604-BE00-0CAA717FE0F5}" name="CATEGORIE LIVRABIL 3" dataDxfId="31"/>
    <tableColumn id="12" xr3:uid="{A22EC8D4-FBFC-4D41-874F-695653F86F83}" name="LIVRABIL 3" dataDxfId="3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ECCC905-8C23-4783-A9EA-8D7FE4B4257B}" name="iunie910121312234" displayName="iunie910121312234" ref="AO57:AZ87" totalsRowShown="0" headerRowDxfId="29" dataDxfId="28" tableBorderDxfId="27">
  <autoFilter ref="AO57:AZ87" xr:uid="{0A91E599-C44D-4171-819F-28480F23AFB7}"/>
  <tableColumns count="12">
    <tableColumn id="1" xr3:uid="{3EBAF35C-2A56-4893-894B-E602E499E40D}" name="ZIUA" dataDxfId="26">
      <calculatedColumnFormula>A58</calculatedColumnFormula>
    </tableColumn>
    <tableColumn id="2" xr3:uid="{848B1FFD-7412-454D-874B-DE55C138ADF9}" name="SUBACTIVITATE" dataDxfId="25">
      <calculatedColumnFormula>LEFT(D58,6)</calculatedColumnFormula>
    </tableColumn>
    <tableColumn id="3" xr3:uid="{469AC8A7-00F2-4ADA-B5DD-DF69F4FBFD4A}" name="LIVRABIL COMUN (DA/NU)" dataDxfId="24"/>
    <tableColumn id="4" xr3:uid="{99FAD0C4-60B1-43E9-8534-254CD5858062}" name="EXPERTI " dataDxfId="23"/>
    <tableColumn id="5" xr3:uid="{B8DDB2E7-09FE-43F0-B816-5D77331D5433}" name="STADIU LIVRABIL (in realizare/finalizat)" dataDxfId="22"/>
    <tableColumn id="6" xr3:uid="{FF27F072-A243-44CA-B123-9F4A34A97564}" name="RAPORT PRELIMINAR/MOM" dataDxfId="21"/>
    <tableColumn id="7" xr3:uid="{B63AA48C-65CA-4D15-90AD-48138036F897}" name="CATEGORIE LIVRABIL 1" dataDxfId="20"/>
    <tableColumn id="8" xr3:uid="{B24C07F4-61AA-473B-94AE-D6A9B51640CA}" name="LIVRABIL 1" dataDxfId="19"/>
    <tableColumn id="9" xr3:uid="{5CD78D75-C8CF-480B-9D3B-4EF9078D7FAB}" name="CATEGORIE LIVRABIL 2" dataDxfId="18"/>
    <tableColumn id="10" xr3:uid="{DF253FCA-F2D3-47B6-992C-7E63B2C7C906}" name="LIVRABIL 2" dataDxfId="17"/>
    <tableColumn id="11" xr3:uid="{230697FF-A87A-4BE7-9168-DD5230356673}" name="CATEGORIE LIVRABIL 3" dataDxfId="16"/>
    <tableColumn id="12" xr3:uid="{D213524D-1342-4A16-8E9B-792DEB1C1E18}" name="LIVRABIL 3" dataDxfId="1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6F3229-32B3-4F1D-B5B5-868A27E7DD0E}" name="iunie9101213122345" displayName="iunie9101213122345" ref="AO57:AZ88" totalsRowShown="0" headerRowDxfId="14" dataDxfId="13" tableBorderDxfId="12">
  <autoFilter ref="AO57:AZ88" xr:uid="{0A91E599-C44D-4171-819F-28480F23AFB7}"/>
  <tableColumns count="12">
    <tableColumn id="1" xr3:uid="{7EF08E71-98F3-4C12-955E-A2DAD369F772}" name="ZIUA" dataDxfId="11">
      <calculatedColumnFormula>A58</calculatedColumnFormula>
    </tableColumn>
    <tableColumn id="2" xr3:uid="{E02E68E1-97CB-495B-BC76-363E7BC1BCD1}" name="SUBACTIVITATE" dataDxfId="10">
      <calculatedColumnFormula>LEFT(D58,6)</calculatedColumnFormula>
    </tableColumn>
    <tableColumn id="3" xr3:uid="{E5FD1CD0-3272-458F-B2B0-15C53CAD82CD}" name="LIVRABIL COMUN (DA/NU)" dataDxfId="9"/>
    <tableColumn id="4" xr3:uid="{83C2F0B1-4052-43BE-8D33-A1D4845BE9A0}" name="EXPERTI " dataDxfId="8"/>
    <tableColumn id="5" xr3:uid="{E1CCD7B3-DA52-42AB-A196-E97B39E6F064}" name="STADIU LIVRABIL (in realizare/finalizat)" dataDxfId="7"/>
    <tableColumn id="6" xr3:uid="{C94811CD-4CD4-490C-94EA-C4EEEB7331D0}" name="RAPORT PRELIMINAR/MOM" dataDxfId="6"/>
    <tableColumn id="7" xr3:uid="{B6057389-3086-421D-9D93-D859D61C8F3F}" name="CATEGORIE LIVRABIL 1" dataDxfId="5"/>
    <tableColumn id="8" xr3:uid="{18751E77-DAC8-4810-A67B-25020516C3A9}" name="LIVRABIL 1" dataDxfId="4"/>
    <tableColumn id="9" xr3:uid="{3F6A88E7-12AF-4074-9F52-1CF21D369BC8}" name="CATEGORIE LIVRABIL 2" dataDxfId="3"/>
    <tableColumn id="10" xr3:uid="{81E13DEF-83CF-4A60-9F5A-3FF2B80C41CD}" name="LIVRABIL 2" dataDxfId="2"/>
    <tableColumn id="11" xr3:uid="{31AA6AA1-0D03-4D90-A14F-88C053AF638F}" name="CATEGORIE LIVRABIL 3" dataDxfId="1"/>
    <tableColumn id="12" xr3:uid="{507F4854-E39F-4C73-A9B3-52F281D1D4AC}" name="LIVRABIL 3"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w:/s/PEO2024-2028/IQBGXP_LrA4sR5F9p0yKPhOUAfHXJFuzQJXD9At16idcOCg?e=9c50Yg" TargetMode="External"/><Relationship Id="rId13" Type="http://schemas.openxmlformats.org/officeDocument/2006/relationships/hyperlink" Target="../../../../../:w:/s/PEO2024-2028/IQAu0FXXMSdjSK0nyD96L3CbAUI5Q-p0gonhU2_tXhG3L_8?e=qgFPU8" TargetMode="External"/><Relationship Id="rId18" Type="http://schemas.openxmlformats.org/officeDocument/2006/relationships/printerSettings" Target="../printerSettings/printerSettings1.bin"/><Relationship Id="rId3" Type="http://schemas.openxmlformats.org/officeDocument/2006/relationships/hyperlink" Target="../../../../../:w:/s/PEO2024-2028/IQDMkqXxulJQR4j3y76K28mXAdl2bUj1MjtTiwsB5Kgv9nw?e=vNAaEr" TargetMode="External"/><Relationship Id="rId7" Type="http://schemas.openxmlformats.org/officeDocument/2006/relationships/hyperlink" Target="../../../../../:w:/s/PEO2024-2028/IQDtNtncfGyiTaTvw6A8f1OlAS2K4qMQ1KfCbYI0vY1Ngt0?e=aiSNlI" TargetMode="External"/><Relationship Id="rId12" Type="http://schemas.openxmlformats.org/officeDocument/2006/relationships/hyperlink" Target="../../../../../:w:/s/PEO2024-2028/IQDNfrX_Psl1RaNZQLAnhZ5kAZ2jp0Y-4mSc2dNZ531om8s?e=GCIFn7" TargetMode="External"/><Relationship Id="rId17" Type="http://schemas.openxmlformats.org/officeDocument/2006/relationships/hyperlink" Target="https://confederatiaconcordia-my.sharepoint.com/:w:/g/personal/roxana_ivanov_confederatia-concordia_ro/IQASCgij8aTwQJezPZNlgbCZAZpjzCmb-8rzDgGUYjy_fis?e=UCbDLt" TargetMode="External"/><Relationship Id="rId2" Type="http://schemas.openxmlformats.org/officeDocument/2006/relationships/hyperlink" Target="../../../../../:w:/s/PEO2024-2028/IQC8LlRBBsiwQY6faL8eqpd-AZP6TVAhp2slWt0_wEJwQ6k?e=nfmS3z" TargetMode="External"/><Relationship Id="rId16" Type="http://schemas.openxmlformats.org/officeDocument/2006/relationships/hyperlink" Target="https://confederatiaconcordia-my.sharepoint.com/:w:/g/personal/roxana_ivanov_confederatia-concordia_ro/IQAcaJmGb5uDTZ0SbDPFoufKAb-d0e6YYGrY24enLwHK21k?e=FeExT9" TargetMode="External"/><Relationship Id="rId20" Type="http://schemas.openxmlformats.org/officeDocument/2006/relationships/table" Target="../tables/table1.xml"/><Relationship Id="rId1" Type="http://schemas.openxmlformats.org/officeDocument/2006/relationships/hyperlink" Target="../../../../../:w:/s/PEO2024-2028/IQCd2Omf9av-RbYFuraQgPMoAb3Oicfi4HoPnri2CF-8FhY?e=hYpd3Y" TargetMode="External"/><Relationship Id="rId6" Type="http://schemas.openxmlformats.org/officeDocument/2006/relationships/hyperlink" Target="../../../../../:w:/s/PEO2024-2028/IQBtM8O_o6WJQ7FrDAUW_yV2AdnZbulfNgQ3pWQsaSWwC2w?e=PAqYyH" TargetMode="External"/><Relationship Id="rId11" Type="http://schemas.openxmlformats.org/officeDocument/2006/relationships/hyperlink" Target="../../../../../:w:/s/PEO2024-2028/IQDSUGWIO2KrQriJBgkArnc7AcLOhIk5_17DmeCU6VBzUPA?e=HSRw2d" TargetMode="External"/><Relationship Id="rId5" Type="http://schemas.openxmlformats.org/officeDocument/2006/relationships/hyperlink" Target="../../../../../:w:/s/PEO2024-2028/IQCZkZVrTjSuSYiT20FULdNbAbKRqRJspGVYhoW3YbHlDxE?e=k7OG1a" TargetMode="External"/><Relationship Id="rId15" Type="http://schemas.openxmlformats.org/officeDocument/2006/relationships/hyperlink" Target="../../../../../:w:/s/PEO2024-2028/IQCcgEbop3czSYg3Qwx9xoMIAQd0dd7plauDtpvooMb76Os?e=jrbeyI" TargetMode="External"/><Relationship Id="rId10" Type="http://schemas.openxmlformats.org/officeDocument/2006/relationships/hyperlink" Target="../../../../../:w:/s/PEO2024-2028/IQBBaR6h65gIQJWw2XVBbsgJAW5RuVVuFML5INH-BcgaH6c?e=noJc8r" TargetMode="External"/><Relationship Id="rId19" Type="http://schemas.openxmlformats.org/officeDocument/2006/relationships/drawing" Target="../drawings/drawing1.xml"/><Relationship Id="rId4" Type="http://schemas.openxmlformats.org/officeDocument/2006/relationships/hyperlink" Target="../../../../../:w:/s/PEO2024-2028/IQBDy0JiI-0LTLqXSYLhQtWGAQKnYHMs7OMj3PlUoXKNI4s?e=iHJnhq" TargetMode="External"/><Relationship Id="rId9" Type="http://schemas.openxmlformats.org/officeDocument/2006/relationships/hyperlink" Target="../../../../../:w:/s/PEO2024-2028/IQCO-jJNBcrvRqfXw8gNJGUeAQmHPy9rNyABrB5A5u-gsaI?e=YVQbYb" TargetMode="External"/><Relationship Id="rId14" Type="http://schemas.openxmlformats.org/officeDocument/2006/relationships/hyperlink" Target="../../../../../:w:/s/PEO2024-2028/IQCnlGFRDYDSSLQEENUAjn6pAVfDWPY1U9f3IW67YseWRpk?e=hCrfZP"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w:/s/PEO2024-2028/IQBQ0Zj76A91R5dKGrrnalR8AVy654oU09tTge7PUcttgL8?e=hezZkX" TargetMode="External"/><Relationship Id="rId13" Type="http://schemas.openxmlformats.org/officeDocument/2006/relationships/hyperlink" Target="../../../../../:w:/s/PEO2024-2028/IQCw60BTcbVhQJHWwVcIkgMFAfhGkw4YdCtjkePlbUt-rR4?e=tttsPG" TargetMode="External"/><Relationship Id="rId18" Type="http://schemas.openxmlformats.org/officeDocument/2006/relationships/hyperlink" Target="../../../../../:w:/s/PEO2024-2028/IQCJDeZFUMahQbOUXjsnt9TWARvKloPdwn-tzTe4z_aAMPM?e=ebFp73" TargetMode="External"/><Relationship Id="rId3" Type="http://schemas.openxmlformats.org/officeDocument/2006/relationships/hyperlink" Target="../../../../../:w:/s/PEO2024-2028/IQDDboB088M1RpHZMgTGafMZAXhhlY8KxU6PydfJL666C8Y?e=Lbb2fB" TargetMode="External"/><Relationship Id="rId7" Type="http://schemas.openxmlformats.org/officeDocument/2006/relationships/hyperlink" Target="../../../../../:w:/s/PEO2024-2028/IQA20umVdY2ZSI0dVmN8geFfASAPjVBzn2afbBvxcw4zORQ?e=AFzvOq" TargetMode="External"/><Relationship Id="rId12" Type="http://schemas.openxmlformats.org/officeDocument/2006/relationships/hyperlink" Target="../../../../../:w:/s/PEO2024-2028/IQBuuPcNC9-FRqu3UEUPzhrCAYBd_zp3SBBB7w5mzIyEFeg?e=AkssSa" TargetMode="External"/><Relationship Id="rId17" Type="http://schemas.openxmlformats.org/officeDocument/2006/relationships/hyperlink" Target="../../../../../:w:/s/PEO2024-2028/IQBM_LWfYCypQ7baYTY4ztGQAaMBWDoMr7kz4CK_Ha8lVlk?e=nYW6fN" TargetMode="External"/><Relationship Id="rId2" Type="http://schemas.openxmlformats.org/officeDocument/2006/relationships/hyperlink" Target="../../../../../:w:/s/PEO2024-2028/IQDFVKItSMwfQpjeXpaFi1HiAVy-i8U5pIzWj3CtOXlMp0o?e=pS1VVb" TargetMode="External"/><Relationship Id="rId16" Type="http://schemas.openxmlformats.org/officeDocument/2006/relationships/hyperlink" Target="../../../../../:w:/s/PEO2024-2028/IQDqvqzlGRf8QKaKQVoPdHUcAVlsMMwKGtK-pkoEDh9pnT8?e=Yw6oHY" TargetMode="External"/><Relationship Id="rId20" Type="http://schemas.openxmlformats.org/officeDocument/2006/relationships/drawing" Target="../drawings/drawing2.xml"/><Relationship Id="rId1" Type="http://schemas.openxmlformats.org/officeDocument/2006/relationships/hyperlink" Target="../../../../../:w:/s/PEO2024-2028/IQCGOTS-6hV7SLuuU8a1mFAaAfF_uqWsFvQ5jU7DAyGRkeo?e=OE0Ob4" TargetMode="External"/><Relationship Id="rId6" Type="http://schemas.openxmlformats.org/officeDocument/2006/relationships/hyperlink" Target="../../../../../:w:/s/PEO2024-2028/IQC5WYYV3GutR551PmyeHRkvAeeDERsJ3MgWx9JkXywME68?e=RSLass" TargetMode="External"/><Relationship Id="rId11" Type="http://schemas.openxmlformats.org/officeDocument/2006/relationships/hyperlink" Target="../../../../../:w:/s/PEO2024-2028/IQAUFuxHMqF8SqRFrOd_-v4iAXOa4CgJLBvTbSBvcNsss7c?e=zx7oqf" TargetMode="External"/><Relationship Id="rId5" Type="http://schemas.openxmlformats.org/officeDocument/2006/relationships/hyperlink" Target="../../../../../:w:/s/PEO2024-2028/IQCJDeZFUMahQbOUXjsnt9TWARvKloPdwn-tzTe4z_aAMPM?e=ebFp73" TargetMode="External"/><Relationship Id="rId15" Type="http://schemas.openxmlformats.org/officeDocument/2006/relationships/hyperlink" Target="../../../../../:w:/s/PEO2024-2028/IQBBAcFSx2MgSZipcvoTvI8PAX4uJKsZ5vARezgaHQDN8tI?e=fdzj86" TargetMode="External"/><Relationship Id="rId10" Type="http://schemas.openxmlformats.org/officeDocument/2006/relationships/hyperlink" Target="../../../../../:w:/s/PEO2024-2028/IQDwXjcrsUA7RJkb-8ePZmRyAcH2_PCPLKw3HXE9RyLCZlA?e=kNCScU" TargetMode="External"/><Relationship Id="rId19" Type="http://schemas.openxmlformats.org/officeDocument/2006/relationships/printerSettings" Target="../printerSettings/printerSettings2.bin"/><Relationship Id="rId4" Type="http://schemas.openxmlformats.org/officeDocument/2006/relationships/hyperlink" Target="../../../../../:w:/s/PEO2024-2028/IQCsmydVOFAcQ6ojxfxfDZiAASrH7gVPE9XItX8RVPMRQJY?e=iYyvWB" TargetMode="External"/><Relationship Id="rId9" Type="http://schemas.openxmlformats.org/officeDocument/2006/relationships/hyperlink" Target="../../../../../:w:/s/PEO2024-2028/IQCwzEi2wwgyT44b8N0F76anAfCR1nZ6si9ej6gQE7htD4Y?e=eNGTw9" TargetMode="External"/><Relationship Id="rId14" Type="http://schemas.openxmlformats.org/officeDocument/2006/relationships/hyperlink" Target="../../../../../:w:/s/PEO2024-2028/IQCDSCxJ73kbRoI70u9Q6tCJAdXk5Oc6QT-uMplXwrKd3U4?e=Xs0iT3"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w:/s/PEO2024-2028/IQAHj4un_9VgRZhIlr9qEhPMATg4GRZPsaUc6Jqe5Pazxm0?e=rIEUuk" TargetMode="External"/><Relationship Id="rId13" Type="http://schemas.openxmlformats.org/officeDocument/2006/relationships/printerSettings" Target="../printerSettings/printerSettings3.bin"/><Relationship Id="rId3" Type="http://schemas.openxmlformats.org/officeDocument/2006/relationships/hyperlink" Target="../../../../../:w:/s/PEO2024-2028/IQAu3xcSVPXJSZ9XzIav4TRIAdUHS233WDYnW7vXXKFIDpU?e=5L6kJY" TargetMode="External"/><Relationship Id="rId7" Type="http://schemas.openxmlformats.org/officeDocument/2006/relationships/hyperlink" Target="../../../../../:w:/s/PEO2024-2028/IQCUtziCzO24T6wrEogjh8orAZYeu9Xh9HXhv0lvGqTNmlQ?e=ScSTvw" TargetMode="External"/><Relationship Id="rId12" Type="http://schemas.openxmlformats.org/officeDocument/2006/relationships/hyperlink" Target="https://confederatiaconcordia.sharepoint.com/:w:/s/PEO2024-2028/IQAPY1LY1u66Q6huZVcpGPcQAUjwrTEghXtveqMjSdaKpr0?e=EiU37B" TargetMode="External"/><Relationship Id="rId2" Type="http://schemas.openxmlformats.org/officeDocument/2006/relationships/hyperlink" Target="../../../../../:w:/s/PEO2024-2028/IQAUy2ICX2X0RYrviyTMFJL4ASZs5Cqt_zkehqKX6eS882s?e=tx7LCU" TargetMode="External"/><Relationship Id="rId1" Type="http://schemas.openxmlformats.org/officeDocument/2006/relationships/hyperlink" Target="../../../../../:w:/s/PEO2024-2028/IQC1ul4EBqRjSbRDA8U02aCrAYfcwz6PeaIeKakiQK0SfPg?e=7MUbL4" TargetMode="External"/><Relationship Id="rId6" Type="http://schemas.openxmlformats.org/officeDocument/2006/relationships/hyperlink" Target="../../../../../:w:/s/PEO2024-2028/IQD0dQJq1ihiRrdgSwTrfKGoAUAvICEVm5f8qNkqxol3QI8?e=gHIs5K" TargetMode="External"/><Relationship Id="rId11" Type="http://schemas.openxmlformats.org/officeDocument/2006/relationships/hyperlink" Target="https://confederatiaconcordia.sharepoint.com/:w:/s/PEO2024-2028/IQDBo11AAtSHQrsIS6VGoA8QAQBdPvUl_8xFe57NQF-NVeU?e=uBBzda" TargetMode="External"/><Relationship Id="rId5" Type="http://schemas.openxmlformats.org/officeDocument/2006/relationships/hyperlink" Target="../../../../../:w:/s/PEO2024-2028/IQBLwLwTq4PQTqK0NCipWVofASybGhf8RRs4ZXCziBPsPqE?e=YsyZFX" TargetMode="External"/><Relationship Id="rId15" Type="http://schemas.openxmlformats.org/officeDocument/2006/relationships/table" Target="../tables/table2.xml"/><Relationship Id="rId10" Type="http://schemas.openxmlformats.org/officeDocument/2006/relationships/hyperlink" Target="https://confederatiaconcordia.sharepoint.com/:w:/s/PEO2024-2028/IQD2Ya1j74bqSKH3l5wFy_jSATGfkTLGFNR3PSwpMq6jazk?e=IogGCF" TargetMode="External"/><Relationship Id="rId4" Type="http://schemas.openxmlformats.org/officeDocument/2006/relationships/hyperlink" Target="../../../../../:w:/s/PEO2024-2028/IQAj9SF_I5G5T7iHHCHRmcG_AU54bS6OaUtvh0jOjEscbRA?e=ueZ113" TargetMode="External"/><Relationship Id="rId9" Type="http://schemas.openxmlformats.org/officeDocument/2006/relationships/hyperlink" Target="https://confederatiaconcordia.sharepoint.com/:w:/s/PEO2024-2028/IQBvv1jjckzQQJAV7c5S4dm2AT_r7hBZNgkHf4Z1mnMmMGo?e=WnZlvO" TargetMode="External"/><Relationship Id="rId1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hyperlink" Target="https://confederatiaconcordia.sharepoint.com/:w:/s/PEO2024-2028/IQDTshr19ayMQYYt5KS2KCQWAQGKu7wc2dL7TnHCbs4ScoA?e=jcXAwa" TargetMode="External"/><Relationship Id="rId13" Type="http://schemas.openxmlformats.org/officeDocument/2006/relationships/printerSettings" Target="../printerSettings/printerSettings4.bin"/><Relationship Id="rId3" Type="http://schemas.openxmlformats.org/officeDocument/2006/relationships/hyperlink" Target="https://confederatiaconcordia.sharepoint.com/:w:/s/PEO2024-2028/IQCPRWgXe-TpTq0MFM4B7BzEAS0XLVtQIba0Y_gDsEaJ02I?e=ECctUl" TargetMode="External"/><Relationship Id="rId7" Type="http://schemas.openxmlformats.org/officeDocument/2006/relationships/hyperlink" Target="https://confederatiaconcordia.sharepoint.com/:w:/s/PEO2024-2028/IQBq890KeHJnT7A5tvmNBBeRAUyxcohYrnqwF4jt80At9eA?e=rNEcEC" TargetMode="External"/><Relationship Id="rId12" Type="http://schemas.openxmlformats.org/officeDocument/2006/relationships/hyperlink" Target="https://confederatiaconcordia.sharepoint.com/:w:/s/PEO2024-2028/IQC5l0BAurt9RY5HXqJ9PvJvAb70IqMRK6YDTyuw5OAcso8?e=ZkUepa" TargetMode="External"/><Relationship Id="rId2" Type="http://schemas.openxmlformats.org/officeDocument/2006/relationships/hyperlink" Target="https://confederatiaconcordia.sharepoint.com/:w:/s/PEO2024-2028/IQCDN94ed5LGR7bksP9vi823ATp5MMa1ZS6caySINcQXv8E?e=Pvxh41" TargetMode="External"/><Relationship Id="rId1" Type="http://schemas.openxmlformats.org/officeDocument/2006/relationships/hyperlink" Target="https://confederatiaconcordia.sharepoint.com/:w:/s/PEO2024-2028/IQBhn67QyXO8QrdzFGxUYHRJASy9Ad0Mx1eaG4iPcnHPsbI?e=7oihVs" TargetMode="External"/><Relationship Id="rId6" Type="http://schemas.openxmlformats.org/officeDocument/2006/relationships/hyperlink" Target="https://confederatiaconcordia.sharepoint.com/:w:/s/PEO2024-2028/IQBruA_8lrdURb7I9cUOlYh6ARtviYdl_z_si7DsHZfzdKA?e=vSxxxk" TargetMode="External"/><Relationship Id="rId11" Type="http://schemas.openxmlformats.org/officeDocument/2006/relationships/hyperlink" Target="https://confederatiaconcordia.sharepoint.com/:w:/s/PEO2024-2028/IQCIsqM13zmRQoQb14HIhZoYASewmAT4YPZrOEtPEdJBhF8?e=H7H23D" TargetMode="External"/><Relationship Id="rId5" Type="http://schemas.openxmlformats.org/officeDocument/2006/relationships/hyperlink" Target="https://confederatiaconcordia.sharepoint.com/:w:/s/PEO2024-2028/IQBJNIxL-11eSYbFOiR2mLTkARefGji38donV7lGj83MqMM?e=8cZRZj" TargetMode="External"/><Relationship Id="rId15" Type="http://schemas.openxmlformats.org/officeDocument/2006/relationships/table" Target="../tables/table3.xml"/><Relationship Id="rId10" Type="http://schemas.openxmlformats.org/officeDocument/2006/relationships/hyperlink" Target="https://confederatiaconcordia.sharepoint.com/:w:/s/PEO2024-2028/IQCDi9QGISTMSaD_owduhWW8AU-HsRX0AsF8tkniVFV5krM?e=2a7oKM" TargetMode="External"/><Relationship Id="rId4" Type="http://schemas.openxmlformats.org/officeDocument/2006/relationships/hyperlink" Target="https://confederatiaconcordia.sharepoint.com/:w:/s/PEO2024-2028/IQDVAYGkwzMsTo9aEtMvKRo1AQP0hhVWM0UocedsoCSIM4M?e=APnEQY" TargetMode="External"/><Relationship Id="rId9" Type="http://schemas.openxmlformats.org/officeDocument/2006/relationships/hyperlink" Target="https://confederatiaconcordia.sharepoint.com/:w:/s/PEO2024-2028/IQA0MitDOE9iT6G7kLsdRVV5AT1SMDYY_aevjSt671Jm8oM?e=emeIgI" TargetMode="External"/><Relationship Id="rId1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8" Type="http://schemas.openxmlformats.org/officeDocument/2006/relationships/hyperlink" Target="https://confederatiaconcordia.sharepoint.com/:w:/s/PEO2024-2028/IQAPmyvEuoCiRbU_CZyksm4CAclyqnHaKdnu1h_fBuMLknc?e=tZ54SU" TargetMode="External"/><Relationship Id="rId13" Type="http://schemas.openxmlformats.org/officeDocument/2006/relationships/drawing" Target="../drawings/drawing5.xml"/><Relationship Id="rId3" Type="http://schemas.openxmlformats.org/officeDocument/2006/relationships/hyperlink" Target="https://confederatiaconcordia.sharepoint.com/:w:/s/PEO2024-2028/IQAfx-kG4_wqRYl-sZC78nv5AbuWCSo9S7VqeLGB6kUoaeg?e=SrNfT5" TargetMode="External"/><Relationship Id="rId7" Type="http://schemas.openxmlformats.org/officeDocument/2006/relationships/hyperlink" Target="https://confederatiaconcordia.sharepoint.com/:w:/s/PEO2024-2028/IQBKcugCR0sVSquCwNF8mM_MAdEzTx2m_JzTXURzDJ3YC88?e=4bGoSF" TargetMode="External"/><Relationship Id="rId12" Type="http://schemas.openxmlformats.org/officeDocument/2006/relationships/printerSettings" Target="../printerSettings/printerSettings5.bin"/><Relationship Id="rId2" Type="http://schemas.openxmlformats.org/officeDocument/2006/relationships/hyperlink" Target="https://confederatiaconcordia.sharepoint.com/:w:/s/PEO2024-2028/IQBxR0Tgh4VbS79lo7NiLSXaAYJA-Fw1BKPFgVsn0UzBVkk?e=uUJDLx" TargetMode="External"/><Relationship Id="rId1" Type="http://schemas.openxmlformats.org/officeDocument/2006/relationships/hyperlink" Target="https://confederatiaconcordia.sharepoint.com/:w:/s/PEO2024-2028/IQADM0iDaBCGSp9DCAQDWmSLAXxoF1RYcQ5pKCEPnEEONyA?e=NvKohs" TargetMode="External"/><Relationship Id="rId6" Type="http://schemas.openxmlformats.org/officeDocument/2006/relationships/hyperlink" Target="https://confederatiaconcordia.sharepoint.com/:w:/s/PEO2024-2028/IQCTVCvjJIMITrm-QDQqBhAjAYFUC17-brvsA4hMiSDfdFo?e=WegNN9" TargetMode="External"/><Relationship Id="rId11" Type="http://schemas.openxmlformats.org/officeDocument/2006/relationships/hyperlink" Target="https://confederatiaconcordia.sharepoint.com/:w:/s/PEO2024-2028/IQDh20BY1pFeRYdv1wsOKI6_AXLVXXCD2jGd5fILSowRdgw?e=S8bzqf" TargetMode="External"/><Relationship Id="rId5" Type="http://schemas.openxmlformats.org/officeDocument/2006/relationships/hyperlink" Target="https://confederatiaconcordia.sharepoint.com/:w:/s/PEO2024-2028/IQB5eGAQ29_7Qr8xaCsH2dcFARE2KBC8cwz67ob9KotYhlo?e=8eUgQD" TargetMode="External"/><Relationship Id="rId10" Type="http://schemas.openxmlformats.org/officeDocument/2006/relationships/hyperlink" Target="https://confederatiaconcordia.sharepoint.com/:w:/s/PEO2024-2028/IQCJdqbW1lEASridheNVHpJUATFreMAxuvBwLPMK0lPf788?e=otVamS" TargetMode="External"/><Relationship Id="rId4" Type="http://schemas.openxmlformats.org/officeDocument/2006/relationships/hyperlink" Target="https://confederatiaconcordia.sharepoint.com/:w:/s/PEO2024-2028/IQAG64Rf139iQZSm9GvLSmU2ATzCalGeR4jd-otZfvjtvOU?e=VZKkPG" TargetMode="External"/><Relationship Id="rId9" Type="http://schemas.openxmlformats.org/officeDocument/2006/relationships/hyperlink" Target="https://confederatiaconcordia.sharepoint.com/:w:/s/PEO2024-2028/IQDpIwM6bVCiTpaluKB-HA4uAde_7GDi_cN6_mDte9tlfw4?e=3dGbbA" TargetMode="External"/><Relationship Id="rId1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50949-8BFC-4BF9-A33F-37E5171AA24E}">
  <sheetPr>
    <pageSetUpPr fitToPage="1"/>
  </sheetPr>
  <dimension ref="A1:BB173"/>
  <sheetViews>
    <sheetView showGridLines="0" topLeftCell="A77" zoomScale="70" zoomScaleNormal="70" workbookViewId="0">
      <selection activeCell="AT78" sqref="AT78"/>
    </sheetView>
  </sheetViews>
  <sheetFormatPr defaultColWidth="8.5703125" defaultRowHeight="12.75" customHeight="1"/>
  <cols>
    <col min="1" max="1" width="30.42578125" style="1" customWidth="1"/>
    <col min="2" max="32" width="3.5703125" style="1" customWidth="1"/>
    <col min="33" max="34" width="7.42578125" style="1" customWidth="1"/>
    <col min="35" max="35" width="6.5703125" style="1" customWidth="1"/>
    <col min="36" max="36" width="6.42578125" style="1" customWidth="1"/>
    <col min="37" max="37" width="7.5703125" style="1" customWidth="1"/>
    <col min="38" max="38" width="8.42578125" style="1" customWidth="1"/>
    <col min="39" max="39" width="9.5703125" style="1" customWidth="1"/>
    <col min="40" max="40" width="77.42578125" style="1" customWidth="1"/>
    <col min="41" max="41" width="17.5703125" style="2" customWidth="1"/>
    <col min="42" max="42" width="14.5703125" style="2" customWidth="1"/>
    <col min="43" max="43" width="22.85546875" style="1" customWidth="1"/>
    <col min="44" max="44" width="28.42578125" style="1" customWidth="1"/>
    <col min="45" max="45" width="32.140625" style="1" customWidth="1"/>
    <col min="46" max="46" width="37.42578125" style="18" customWidth="1"/>
    <col min="47" max="47" width="32.5703125" style="1" customWidth="1"/>
    <col min="48" max="48" width="30.42578125" style="18" customWidth="1"/>
    <col min="49" max="52" width="30.42578125" style="1" customWidth="1"/>
    <col min="53" max="53" width="20.5703125" style="1" customWidth="1"/>
    <col min="54" max="54" width="31" style="1" customWidth="1"/>
    <col min="55" max="16384" width="8.5703125" style="1"/>
  </cols>
  <sheetData>
    <row r="1" spans="1:39" ht="13.5" thickBot="1">
      <c r="A1" s="19" t="s">
        <v>0</v>
      </c>
      <c r="B1" s="20"/>
    </row>
    <row r="2" spans="1:39" ht="13.5" thickBot="1">
      <c r="A2" s="21" t="s">
        <v>1</v>
      </c>
      <c r="B2" s="22"/>
    </row>
    <row r="3" spans="1:39" ht="13.5" thickBot="1">
      <c r="A3" s="21" t="s">
        <v>2</v>
      </c>
      <c r="B3" s="23" t="s">
        <v>3</v>
      </c>
    </row>
    <row r="4" spans="1:39" ht="13.5" thickBot="1">
      <c r="A4" s="21" t="s">
        <v>4</v>
      </c>
      <c r="B4" s="23" t="s">
        <v>5</v>
      </c>
    </row>
    <row r="5" spans="1:39" ht="13.5" thickBot="1">
      <c r="A5" s="24" t="s">
        <v>6</v>
      </c>
      <c r="B5" s="23" t="s">
        <v>7</v>
      </c>
    </row>
    <row r="6" spans="1:39" ht="13.5" thickBot="1">
      <c r="A6" s="24" t="s">
        <v>8</v>
      </c>
      <c r="B6" s="25">
        <v>8</v>
      </c>
    </row>
    <row r="7" spans="1:39" ht="13.5" thickBot="1">
      <c r="A7" s="26"/>
      <c r="B7" s="27"/>
    </row>
    <row r="8" spans="1:39" ht="14.85" customHeight="1">
      <c r="B8" s="493" t="s">
        <v>9</v>
      </c>
      <c r="C8" s="494"/>
      <c r="D8" s="494"/>
      <c r="E8" s="494"/>
      <c r="F8" s="494"/>
      <c r="G8" s="494"/>
      <c r="H8" s="494"/>
      <c r="I8" s="494"/>
      <c r="J8" s="494"/>
      <c r="K8" s="494"/>
      <c r="L8" s="494"/>
      <c r="M8" s="494"/>
      <c r="N8" s="494"/>
      <c r="O8" s="494"/>
      <c r="P8" s="494"/>
      <c r="Q8" s="494"/>
      <c r="R8" s="494"/>
      <c r="S8" s="494"/>
      <c r="T8" s="494"/>
      <c r="U8" s="494"/>
      <c r="V8" s="494"/>
      <c r="W8" s="494"/>
      <c r="X8" s="494"/>
      <c r="Y8" s="494"/>
      <c r="Z8" s="494"/>
      <c r="AA8" s="494"/>
      <c r="AB8" s="494"/>
      <c r="AC8" s="494"/>
      <c r="AD8" s="494"/>
      <c r="AE8" s="494"/>
      <c r="AF8" s="495"/>
    </row>
    <row r="9" spans="1:39" ht="14.85" customHeight="1">
      <c r="B9" s="496"/>
      <c r="C9" s="497"/>
      <c r="D9" s="497"/>
      <c r="E9" s="497"/>
      <c r="F9" s="497"/>
      <c r="G9" s="497"/>
      <c r="H9" s="497"/>
      <c r="I9" s="497"/>
      <c r="J9" s="497"/>
      <c r="K9" s="497"/>
      <c r="L9" s="497"/>
      <c r="M9" s="497"/>
      <c r="N9" s="497"/>
      <c r="O9" s="497"/>
      <c r="P9" s="497"/>
      <c r="Q9" s="497"/>
      <c r="R9" s="497"/>
      <c r="S9" s="497"/>
      <c r="T9" s="497"/>
      <c r="U9" s="497"/>
      <c r="V9" s="497"/>
      <c r="W9" s="497"/>
      <c r="X9" s="497"/>
      <c r="Y9" s="497"/>
      <c r="Z9" s="497"/>
      <c r="AA9" s="497"/>
      <c r="AB9" s="497"/>
      <c r="AC9" s="497"/>
      <c r="AD9" s="497"/>
      <c r="AE9" s="497"/>
      <c r="AF9" s="498"/>
    </row>
    <row r="10" spans="1:39" ht="15" customHeight="1" thickBot="1">
      <c r="B10" s="499"/>
      <c r="C10" s="500"/>
      <c r="D10" s="500"/>
      <c r="E10" s="500"/>
      <c r="F10" s="500"/>
      <c r="G10" s="500"/>
      <c r="H10" s="500"/>
      <c r="I10" s="500"/>
      <c r="J10" s="500"/>
      <c r="K10" s="500"/>
      <c r="L10" s="500"/>
      <c r="M10" s="500"/>
      <c r="N10" s="500"/>
      <c r="O10" s="500"/>
      <c r="P10" s="500"/>
      <c r="Q10" s="500"/>
      <c r="R10" s="500"/>
      <c r="S10" s="500"/>
      <c r="T10" s="500"/>
      <c r="U10" s="500"/>
      <c r="V10" s="500"/>
      <c r="W10" s="500"/>
      <c r="X10" s="500"/>
      <c r="Y10" s="500"/>
      <c r="Z10" s="500"/>
      <c r="AA10" s="500"/>
      <c r="AB10" s="500"/>
      <c r="AC10" s="500"/>
      <c r="AD10" s="500"/>
      <c r="AE10" s="500"/>
      <c r="AF10" s="501"/>
    </row>
    <row r="11" spans="1:39" ht="15" thickBot="1">
      <c r="B11" s="502" t="s">
        <v>10</v>
      </c>
      <c r="C11" s="502"/>
      <c r="D11" s="502"/>
      <c r="E11" s="502"/>
      <c r="F11" s="502"/>
      <c r="G11" s="502"/>
      <c r="H11" s="502"/>
      <c r="I11" s="502"/>
      <c r="J11" s="502"/>
      <c r="K11" s="502"/>
      <c r="L11" s="502"/>
      <c r="M11" s="502"/>
      <c r="N11" s="502"/>
      <c r="O11" s="502"/>
      <c r="P11" s="502"/>
      <c r="Q11" s="502"/>
      <c r="R11" s="502"/>
      <c r="S11" s="502"/>
      <c r="T11" s="502"/>
      <c r="U11" s="502"/>
      <c r="V11" s="502"/>
      <c r="W11" s="502"/>
      <c r="X11" s="502"/>
      <c r="Y11" s="502"/>
      <c r="Z11" s="502"/>
      <c r="AA11" s="502"/>
      <c r="AB11" s="502"/>
      <c r="AC11" s="502"/>
      <c r="AD11" s="502"/>
      <c r="AE11" s="502"/>
      <c r="AF11" s="502"/>
      <c r="AG11" s="28"/>
      <c r="AH11" s="29"/>
      <c r="AI11" s="28"/>
      <c r="AJ11" s="29"/>
      <c r="AK11" s="28"/>
      <c r="AL11" s="29"/>
      <c r="AM11" s="28"/>
    </row>
    <row r="12" spans="1:39" ht="17.25" customHeight="1" thickBot="1">
      <c r="A12" s="503" t="s">
        <v>11</v>
      </c>
      <c r="B12" s="504"/>
      <c r="C12" s="504"/>
      <c r="D12" s="504"/>
      <c r="E12" s="504"/>
      <c r="F12" s="504"/>
      <c r="G12" s="504"/>
      <c r="H12" s="504"/>
      <c r="I12" s="504"/>
      <c r="J12" s="504"/>
      <c r="K12" s="504"/>
      <c r="L12" s="504"/>
      <c r="M12" s="504"/>
      <c r="N12" s="504"/>
      <c r="O12" s="504"/>
      <c r="P12" s="504"/>
      <c r="Q12" s="504"/>
      <c r="R12" s="504"/>
      <c r="S12" s="504"/>
      <c r="T12" s="504"/>
      <c r="U12" s="504"/>
      <c r="V12" s="504"/>
      <c r="W12" s="504"/>
      <c r="X12" s="504"/>
      <c r="Y12" s="504"/>
      <c r="Z12" s="504"/>
      <c r="AA12" s="504"/>
      <c r="AB12" s="504"/>
      <c r="AC12" s="504"/>
      <c r="AD12" s="504"/>
      <c r="AE12" s="504"/>
      <c r="AF12" s="504"/>
      <c r="AG12" s="490" t="s">
        <v>12</v>
      </c>
      <c r="AH12" s="490" t="s">
        <v>13</v>
      </c>
      <c r="AI12" s="490" t="s">
        <v>14</v>
      </c>
      <c r="AJ12" s="490" t="s">
        <v>15</v>
      </c>
      <c r="AK12" s="490" t="s">
        <v>16</v>
      </c>
      <c r="AL12" s="490" t="s">
        <v>17</v>
      </c>
      <c r="AM12" s="37"/>
    </row>
    <row r="13" spans="1:39" ht="17.25" customHeight="1" thickBot="1">
      <c r="A13" s="30" t="s">
        <v>18</v>
      </c>
      <c r="B13" s="64">
        <v>1</v>
      </c>
      <c r="C13" s="49">
        <v>2</v>
      </c>
      <c r="D13" s="31">
        <v>3</v>
      </c>
      <c r="E13" s="31">
        <v>4</v>
      </c>
      <c r="F13" s="108">
        <v>5</v>
      </c>
      <c r="G13" s="49">
        <v>6</v>
      </c>
      <c r="H13" s="49">
        <v>7</v>
      </c>
      <c r="I13" s="108">
        <v>8</v>
      </c>
      <c r="J13" s="108">
        <v>9</v>
      </c>
      <c r="K13" s="31">
        <v>10</v>
      </c>
      <c r="L13" s="31">
        <v>11</v>
      </c>
      <c r="M13" s="108">
        <v>12</v>
      </c>
      <c r="N13" s="108">
        <v>13</v>
      </c>
      <c r="O13" s="108">
        <v>14</v>
      </c>
      <c r="P13" s="108">
        <v>15</v>
      </c>
      <c r="Q13" s="108">
        <v>16</v>
      </c>
      <c r="R13" s="31">
        <v>17</v>
      </c>
      <c r="S13" s="31">
        <v>18</v>
      </c>
      <c r="T13" s="108">
        <v>19</v>
      </c>
      <c r="U13" s="108">
        <v>20</v>
      </c>
      <c r="V13" s="108">
        <v>21</v>
      </c>
      <c r="W13" s="108">
        <v>22</v>
      </c>
      <c r="X13" s="108">
        <v>23</v>
      </c>
      <c r="Y13" s="31">
        <v>24</v>
      </c>
      <c r="Z13" s="31">
        <v>25</v>
      </c>
      <c r="AA13" s="108">
        <v>26</v>
      </c>
      <c r="AB13" s="108">
        <v>27</v>
      </c>
      <c r="AC13" s="108">
        <v>28</v>
      </c>
      <c r="AD13" s="108">
        <v>29</v>
      </c>
      <c r="AE13" s="108">
        <v>30</v>
      </c>
      <c r="AF13" s="68">
        <v>31</v>
      </c>
      <c r="AG13" s="491"/>
      <c r="AH13" s="505"/>
      <c r="AI13" s="491"/>
      <c r="AJ13" s="491"/>
      <c r="AK13" s="491"/>
      <c r="AL13" s="491"/>
      <c r="AM13" s="38"/>
    </row>
    <row r="14" spans="1:39" ht="17.25" customHeight="1" thickBot="1">
      <c r="A14" s="32" t="s">
        <v>19</v>
      </c>
      <c r="B14" s="50" t="s">
        <v>20</v>
      </c>
      <c r="C14" s="50" t="s">
        <v>21</v>
      </c>
      <c r="D14" s="33" t="s">
        <v>22</v>
      </c>
      <c r="E14" s="33" t="s">
        <v>23</v>
      </c>
      <c r="F14" s="34" t="s">
        <v>24</v>
      </c>
      <c r="G14" s="50" t="s">
        <v>25</v>
      </c>
      <c r="H14" s="50" t="s">
        <v>26</v>
      </c>
      <c r="I14" s="34" t="s">
        <v>20</v>
      </c>
      <c r="J14" s="34" t="s">
        <v>21</v>
      </c>
      <c r="K14" s="33" t="s">
        <v>22</v>
      </c>
      <c r="L14" s="33" t="s">
        <v>23</v>
      </c>
      <c r="M14" s="34" t="s">
        <v>24</v>
      </c>
      <c r="N14" s="34" t="s">
        <v>25</v>
      </c>
      <c r="O14" s="34" t="s">
        <v>26</v>
      </c>
      <c r="P14" s="34" t="s">
        <v>20</v>
      </c>
      <c r="Q14" s="34" t="s">
        <v>21</v>
      </c>
      <c r="R14" s="33" t="s">
        <v>22</v>
      </c>
      <c r="S14" s="33" t="s">
        <v>23</v>
      </c>
      <c r="T14" s="34" t="s">
        <v>24</v>
      </c>
      <c r="U14" s="34" t="s">
        <v>25</v>
      </c>
      <c r="V14" s="34" t="s">
        <v>26</v>
      </c>
      <c r="W14" s="34" t="s">
        <v>20</v>
      </c>
      <c r="X14" s="34" t="s">
        <v>21</v>
      </c>
      <c r="Y14" s="33" t="s">
        <v>22</v>
      </c>
      <c r="Z14" s="33" t="s">
        <v>23</v>
      </c>
      <c r="AA14" s="34" t="s">
        <v>24</v>
      </c>
      <c r="AB14" s="34" t="s">
        <v>25</v>
      </c>
      <c r="AC14" s="34" t="s">
        <v>26</v>
      </c>
      <c r="AD14" s="34" t="s">
        <v>20</v>
      </c>
      <c r="AE14" s="34" t="s">
        <v>21</v>
      </c>
      <c r="AF14" s="33" t="s">
        <v>22</v>
      </c>
      <c r="AG14" s="491"/>
      <c r="AH14" s="506"/>
      <c r="AI14" s="491"/>
      <c r="AJ14" s="491"/>
      <c r="AK14" s="491"/>
      <c r="AL14" s="491"/>
      <c r="AM14" s="38"/>
    </row>
    <row r="15" spans="1:39" ht="17.25" customHeight="1">
      <c r="A15" s="35" t="s">
        <v>27</v>
      </c>
      <c r="B15" s="65"/>
      <c r="C15" s="93"/>
      <c r="D15" s="51"/>
      <c r="E15" s="51"/>
      <c r="F15" s="109">
        <f t="shared" ref="F15:AE15" si="0">8-SUM(F16:F16)</f>
        <v>0</v>
      </c>
      <c r="G15" s="93"/>
      <c r="H15" s="93"/>
      <c r="I15" s="109" t="s">
        <v>5</v>
      </c>
      <c r="J15" s="109" t="s">
        <v>5</v>
      </c>
      <c r="K15" s="51"/>
      <c r="L15" s="51"/>
      <c r="M15" s="109">
        <f t="shared" si="0"/>
        <v>4</v>
      </c>
      <c r="N15" s="109">
        <f t="shared" si="0"/>
        <v>2</v>
      </c>
      <c r="O15" s="109">
        <f t="shared" si="0"/>
        <v>6</v>
      </c>
      <c r="P15" s="109">
        <f t="shared" si="0"/>
        <v>8</v>
      </c>
      <c r="Q15" s="109">
        <f t="shared" si="0"/>
        <v>3</v>
      </c>
      <c r="R15" s="51"/>
      <c r="S15" s="51"/>
      <c r="T15" s="109">
        <f t="shared" si="0"/>
        <v>2</v>
      </c>
      <c r="U15" s="109">
        <f t="shared" si="0"/>
        <v>6</v>
      </c>
      <c r="V15" s="109">
        <f t="shared" si="0"/>
        <v>4</v>
      </c>
      <c r="W15" s="109">
        <f t="shared" si="0"/>
        <v>8</v>
      </c>
      <c r="X15" s="109">
        <f t="shared" si="0"/>
        <v>4</v>
      </c>
      <c r="Y15" s="51"/>
      <c r="Z15" s="51"/>
      <c r="AA15" s="109">
        <f t="shared" si="0"/>
        <v>5</v>
      </c>
      <c r="AB15" s="109">
        <f t="shared" si="0"/>
        <v>8</v>
      </c>
      <c r="AC15" s="109">
        <f t="shared" si="0"/>
        <v>4</v>
      </c>
      <c r="AD15" s="109">
        <f t="shared" si="0"/>
        <v>0</v>
      </c>
      <c r="AE15" s="109">
        <f t="shared" si="0"/>
        <v>0</v>
      </c>
      <c r="AF15" s="51"/>
      <c r="AG15" s="52">
        <f>SUM(B15:AF15)+COUNTIF(B15:AF15, "DE")*4</f>
        <v>64</v>
      </c>
      <c r="AH15" s="53">
        <f>AG15/8</f>
        <v>8</v>
      </c>
      <c r="AI15" s="53">
        <f>COUNTIF(B15:AF15, "CO")*4</f>
        <v>8</v>
      </c>
      <c r="AJ15" s="53">
        <f>AI15/8</f>
        <v>1</v>
      </c>
      <c r="AK15" s="53">
        <f>COUNTIF(B15:AF15, "CM")*8</f>
        <v>0</v>
      </c>
      <c r="AL15" s="54">
        <f>AK15/8</f>
        <v>0</v>
      </c>
      <c r="AM15" s="39"/>
    </row>
    <row r="16" spans="1:39" ht="29.85" customHeight="1" thickBot="1">
      <c r="A16" s="35" t="s">
        <v>28</v>
      </c>
      <c r="B16" s="66"/>
      <c r="C16" s="94"/>
      <c r="D16" s="55"/>
      <c r="E16" s="55"/>
      <c r="F16" s="110">
        <f>SUMIFS($AL$58:$AL$92,$A$58:$A$92,"="&amp;DATE(2026,1,F13))</f>
        <v>8</v>
      </c>
      <c r="G16" s="94"/>
      <c r="H16" s="94"/>
      <c r="I16" s="110" t="s">
        <v>5</v>
      </c>
      <c r="J16" s="110" t="s">
        <v>5</v>
      </c>
      <c r="K16" s="55"/>
      <c r="L16" s="55"/>
      <c r="M16" s="110">
        <f>SUMIFS($AL$58:$AL$92,$A$58:$A$92,"="&amp;DATE(2026,1,M13))</f>
        <v>4</v>
      </c>
      <c r="N16" s="110">
        <f>SUMIFS($AL$58:$AL$92,$A$58:$A$92,"="&amp;DATE(2026,1,N13))</f>
        <v>6</v>
      </c>
      <c r="O16" s="110">
        <f>SUMIFS($AL$58:$AL$92,$A$58:$A$92,"="&amp;DATE(2026,1,O13))</f>
        <v>2</v>
      </c>
      <c r="P16" s="110">
        <f>SUMIFS($AL$58:$AL$92,$A$58:$A$92,"="&amp;DATE(2026,1,P13))</f>
        <v>0</v>
      </c>
      <c r="Q16" s="110">
        <f>SUMIFS($AL$58:$AL$92,$A$58:$A$92,"="&amp;DATE(2026,1,Q13))</f>
        <v>5</v>
      </c>
      <c r="R16" s="55"/>
      <c r="S16" s="55"/>
      <c r="T16" s="110">
        <f>SUMIFS($AL$58:$AL$92,$A$58:$A$92,"="&amp;DATE(2026,1,T13))</f>
        <v>6</v>
      </c>
      <c r="U16" s="110">
        <f>SUMIFS($AL$58:$AL$92,$A$58:$A$92,"="&amp;DATE(2026,1,U13))</f>
        <v>2</v>
      </c>
      <c r="V16" s="110">
        <f>SUMIFS($AL$58:$AL$92,$A$58:$A$92,"="&amp;DATE(2026,1,V13))</f>
        <v>4</v>
      </c>
      <c r="W16" s="110">
        <f>SUMIFS($AL$58:$AL$92,$A$58:$A$92,"="&amp;DATE(2026,1,W13))</f>
        <v>0</v>
      </c>
      <c r="X16" s="110">
        <f>SUMIFS($AL$58:$AL$92,$A$58:$A$92,"="&amp;DATE(2026,1,X13))</f>
        <v>4</v>
      </c>
      <c r="Y16" s="55"/>
      <c r="Z16" s="55"/>
      <c r="AA16" s="110">
        <f>SUMIFS($AL$58:$AL$92,$A$58:$A$92,"="&amp;DATE(2026,1,AA13))</f>
        <v>3</v>
      </c>
      <c r="AB16" s="110">
        <f>SUMIFS($AL$58:$AL$92,$A$58:$A$92,"="&amp;DATE(2026,1,AB13))</f>
        <v>0</v>
      </c>
      <c r="AC16" s="110">
        <f>SUMIFS($AL$58:$AL$92,$A$58:$A$92,"="&amp;DATE(2026,1,AC13))</f>
        <v>4</v>
      </c>
      <c r="AD16" s="110">
        <f>SUMIFS($AL$58:$AL$92,$A$58:$A$92,"="&amp;DATE(2026,1,AD13))</f>
        <v>8</v>
      </c>
      <c r="AE16" s="110">
        <f>SUMIFS($AL$58:$AL$92,$A$58:$A$92,"="&amp;DATE(2026,1,AE13))</f>
        <v>8</v>
      </c>
      <c r="AF16" s="55"/>
      <c r="AG16" s="56">
        <f>SUM(B16:AF16)+COUNTIF(B16:AF16, "DE")*4</f>
        <v>64</v>
      </c>
      <c r="AH16" s="57">
        <f>AG16/8</f>
        <v>8</v>
      </c>
      <c r="AI16" s="57">
        <f>COUNTIF(B16:AF16, "CO")*4</f>
        <v>8</v>
      </c>
      <c r="AJ16" s="57">
        <f>AI16/8</f>
        <v>1</v>
      </c>
      <c r="AK16" s="57">
        <f>COUNTIF(B16:AF16, "CM")*8</f>
        <v>0</v>
      </c>
      <c r="AL16" s="58">
        <f>AK16/8</f>
        <v>0</v>
      </c>
      <c r="AM16" s="39"/>
    </row>
    <row r="17" spans="1:39" ht="17.25" customHeight="1" thickBot="1">
      <c r="A17" s="36" t="s">
        <v>29</v>
      </c>
      <c r="B17" s="67"/>
      <c r="C17" s="95"/>
      <c r="D17" s="60"/>
      <c r="E17" s="60"/>
      <c r="F17" s="59">
        <f t="shared" ref="F17:AE17" si="1">SUM(F15:F16)</f>
        <v>8</v>
      </c>
      <c r="G17" s="95"/>
      <c r="H17" s="95"/>
      <c r="I17" s="59">
        <f t="shared" si="1"/>
        <v>0</v>
      </c>
      <c r="J17" s="59">
        <f t="shared" si="1"/>
        <v>0</v>
      </c>
      <c r="K17" s="60"/>
      <c r="L17" s="60"/>
      <c r="M17" s="59">
        <f t="shared" si="1"/>
        <v>8</v>
      </c>
      <c r="N17" s="59">
        <f t="shared" si="1"/>
        <v>8</v>
      </c>
      <c r="O17" s="59">
        <f t="shared" si="1"/>
        <v>8</v>
      </c>
      <c r="P17" s="59">
        <f t="shared" si="1"/>
        <v>8</v>
      </c>
      <c r="Q17" s="59">
        <f t="shared" si="1"/>
        <v>8</v>
      </c>
      <c r="R17" s="60"/>
      <c r="S17" s="60"/>
      <c r="T17" s="59">
        <f t="shared" si="1"/>
        <v>8</v>
      </c>
      <c r="U17" s="59">
        <f t="shared" si="1"/>
        <v>8</v>
      </c>
      <c r="V17" s="59">
        <f t="shared" si="1"/>
        <v>8</v>
      </c>
      <c r="W17" s="59">
        <f t="shared" si="1"/>
        <v>8</v>
      </c>
      <c r="X17" s="59">
        <f t="shared" si="1"/>
        <v>8</v>
      </c>
      <c r="Y17" s="60"/>
      <c r="Z17" s="60"/>
      <c r="AA17" s="59">
        <f t="shared" si="1"/>
        <v>8</v>
      </c>
      <c r="AB17" s="59">
        <f t="shared" si="1"/>
        <v>8</v>
      </c>
      <c r="AC17" s="59">
        <f t="shared" si="1"/>
        <v>8</v>
      </c>
      <c r="AD17" s="59">
        <f t="shared" si="1"/>
        <v>8</v>
      </c>
      <c r="AE17" s="59">
        <f t="shared" si="1"/>
        <v>8</v>
      </c>
      <c r="AF17" s="60"/>
      <c r="AG17" s="61">
        <f t="shared" ref="AG17:AL17" si="2">SUM(AG15:AG16)</f>
        <v>128</v>
      </c>
      <c r="AH17" s="62">
        <f t="shared" si="2"/>
        <v>16</v>
      </c>
      <c r="AI17" s="62">
        <f t="shared" si="2"/>
        <v>16</v>
      </c>
      <c r="AJ17" s="62">
        <f t="shared" si="2"/>
        <v>2</v>
      </c>
      <c r="AK17" s="62">
        <f t="shared" si="2"/>
        <v>0</v>
      </c>
      <c r="AL17" s="63">
        <f t="shared" si="2"/>
        <v>0</v>
      </c>
      <c r="AM17" s="39"/>
    </row>
    <row r="18" spans="1:39" ht="12.95"/>
    <row r="19" spans="1:39" ht="12.95">
      <c r="A19" s="2"/>
      <c r="I19" s="492" t="s">
        <v>30</v>
      </c>
      <c r="J19" s="492"/>
      <c r="K19" s="492"/>
      <c r="L19" s="492"/>
      <c r="M19" s="492"/>
      <c r="N19" s="492"/>
      <c r="O19" s="492"/>
      <c r="P19" s="483" t="s">
        <v>31</v>
      </c>
      <c r="Q19" s="483"/>
      <c r="R19" s="483"/>
      <c r="S19" s="483"/>
      <c r="T19" s="483"/>
      <c r="U19" s="483"/>
      <c r="V19" s="483"/>
    </row>
    <row r="20" spans="1:39" ht="12.95"/>
    <row r="21" spans="1:39" ht="12.95">
      <c r="I21" s="482" t="s">
        <v>32</v>
      </c>
      <c r="J21" s="482"/>
      <c r="K21" s="482"/>
      <c r="L21" s="482"/>
      <c r="M21" s="482"/>
      <c r="N21" s="482"/>
      <c r="O21" s="482"/>
      <c r="P21" s="483"/>
      <c r="Q21" s="483"/>
      <c r="R21" s="483"/>
      <c r="S21" s="483"/>
      <c r="T21" s="483"/>
      <c r="U21" s="483"/>
      <c r="V21" s="483"/>
    </row>
    <row r="22" spans="1:39" ht="12.95">
      <c r="I22" s="2"/>
      <c r="J22" s="2"/>
      <c r="K22" s="2"/>
      <c r="L22" s="2"/>
      <c r="M22" s="2"/>
      <c r="N22" s="2"/>
      <c r="O22" s="2"/>
    </row>
    <row r="23" spans="1:39" ht="12.95">
      <c r="I23" s="2"/>
      <c r="J23" s="2"/>
      <c r="K23" s="2"/>
      <c r="L23" s="2"/>
      <c r="M23" s="2"/>
      <c r="N23" s="2"/>
      <c r="O23" s="2"/>
    </row>
    <row r="24" spans="1:39" ht="12.95">
      <c r="I24" s="492" t="s">
        <v>33</v>
      </c>
      <c r="J24" s="492"/>
      <c r="K24" s="492"/>
      <c r="L24" s="492"/>
      <c r="M24" s="492"/>
      <c r="N24" s="492"/>
      <c r="O24" s="492"/>
      <c r="P24" s="483" t="s">
        <v>31</v>
      </c>
      <c r="Q24" s="483"/>
      <c r="R24" s="483"/>
      <c r="S24" s="483"/>
      <c r="T24" s="483"/>
      <c r="U24" s="483"/>
      <c r="V24" s="483"/>
    </row>
    <row r="25" spans="1:39" ht="12.95">
      <c r="I25" s="482" t="s">
        <v>34</v>
      </c>
      <c r="J25" s="482"/>
      <c r="K25" s="482"/>
      <c r="L25" s="482"/>
      <c r="M25" s="482"/>
      <c r="N25" s="482"/>
      <c r="O25" s="482"/>
      <c r="P25" s="483"/>
      <c r="Q25" s="483"/>
      <c r="R25" s="483"/>
      <c r="S25" s="483"/>
      <c r="T25" s="483"/>
      <c r="U25" s="483"/>
      <c r="V25" s="483"/>
    </row>
    <row r="26" spans="1:39" ht="12.95">
      <c r="I26" s="482" t="s">
        <v>35</v>
      </c>
      <c r="J26" s="482"/>
      <c r="K26" s="482"/>
      <c r="L26" s="482"/>
      <c r="M26" s="482"/>
      <c r="N26" s="482"/>
      <c r="O26" s="482"/>
      <c r="P26" s="483"/>
      <c r="Q26" s="483"/>
      <c r="R26" s="483"/>
      <c r="S26" s="483"/>
      <c r="T26" s="483"/>
      <c r="U26" s="483"/>
      <c r="V26" s="483"/>
    </row>
    <row r="27" spans="1:39" ht="12.95">
      <c r="I27" s="482" t="s">
        <v>32</v>
      </c>
      <c r="J27" s="482"/>
      <c r="K27" s="482"/>
      <c r="L27" s="482"/>
      <c r="M27" s="482"/>
      <c r="N27" s="482"/>
      <c r="O27" s="482"/>
      <c r="P27" s="483"/>
      <c r="Q27" s="483"/>
      <c r="R27" s="483"/>
      <c r="S27" s="483"/>
      <c r="T27" s="483"/>
      <c r="U27" s="483"/>
      <c r="V27" s="483"/>
    </row>
    <row r="28" spans="1:39" ht="12.95">
      <c r="I28" s="4"/>
      <c r="J28" s="4"/>
      <c r="K28" s="4"/>
      <c r="L28" s="4"/>
      <c r="M28" s="4"/>
      <c r="N28" s="4"/>
      <c r="O28" s="4"/>
      <c r="P28" s="2"/>
      <c r="Q28" s="2"/>
      <c r="R28" s="2"/>
      <c r="S28" s="2"/>
      <c r="T28" s="2"/>
      <c r="U28" s="2"/>
      <c r="V28" s="2"/>
      <c r="AC28" s="1" t="s">
        <v>36</v>
      </c>
    </row>
    <row r="29" spans="1:39" ht="12.95">
      <c r="I29" s="4"/>
      <c r="J29" s="4"/>
      <c r="K29" s="4"/>
      <c r="L29" s="4"/>
      <c r="M29" s="4"/>
      <c r="N29" s="4"/>
      <c r="O29" s="4"/>
      <c r="P29" s="2"/>
      <c r="Q29" s="2"/>
      <c r="R29" s="2"/>
      <c r="S29" s="2"/>
      <c r="T29" s="2"/>
      <c r="U29" s="2"/>
      <c r="V29" s="2"/>
    </row>
    <row r="30" spans="1:39" ht="12.95">
      <c r="I30" s="4"/>
      <c r="J30" s="4"/>
      <c r="K30" s="4"/>
      <c r="L30" s="4"/>
      <c r="M30" s="4"/>
      <c r="N30" s="4"/>
      <c r="O30" s="4"/>
      <c r="P30" s="2"/>
      <c r="Q30" s="2"/>
      <c r="R30" s="2"/>
      <c r="S30" s="2"/>
      <c r="T30" s="2"/>
      <c r="U30" s="2"/>
      <c r="V30" s="2"/>
    </row>
    <row r="31" spans="1:39" ht="12.95">
      <c r="I31" s="4"/>
      <c r="J31" s="4"/>
      <c r="K31" s="4"/>
      <c r="L31" s="4"/>
      <c r="M31" s="4"/>
      <c r="N31" s="4"/>
      <c r="O31" s="4"/>
      <c r="P31" s="2"/>
      <c r="Q31" s="2"/>
      <c r="R31" s="2"/>
      <c r="S31" s="2"/>
      <c r="T31" s="2"/>
      <c r="U31" s="2"/>
      <c r="V31" s="2"/>
    </row>
    <row r="32" spans="1:39" ht="12.95">
      <c r="I32" s="4"/>
      <c r="J32" s="4"/>
      <c r="K32" s="4"/>
      <c r="L32" s="4"/>
      <c r="M32" s="4"/>
      <c r="N32" s="4"/>
      <c r="O32" s="4"/>
      <c r="P32" s="2"/>
      <c r="Q32" s="2"/>
      <c r="R32" s="2"/>
      <c r="S32" s="2"/>
      <c r="T32" s="2"/>
      <c r="U32" s="2"/>
      <c r="V32" s="2"/>
    </row>
    <row r="33" spans="1:39" ht="12.95">
      <c r="I33" s="4"/>
      <c r="J33" s="4"/>
      <c r="K33" s="4"/>
      <c r="L33" s="4"/>
      <c r="M33" s="4"/>
      <c r="N33" s="4"/>
      <c r="O33" s="4"/>
      <c r="P33" s="2"/>
      <c r="Q33" s="2"/>
      <c r="R33" s="2"/>
      <c r="S33" s="2"/>
      <c r="T33" s="2"/>
      <c r="U33" s="2"/>
      <c r="V33" s="2"/>
    </row>
    <row r="34" spans="1:39" ht="12.95">
      <c r="I34" s="4"/>
      <c r="J34" s="4"/>
      <c r="K34" s="4"/>
      <c r="L34" s="4"/>
      <c r="M34" s="4"/>
      <c r="N34" s="4"/>
      <c r="O34" s="4"/>
      <c r="P34" s="2"/>
      <c r="Q34" s="2"/>
      <c r="R34" s="2"/>
      <c r="S34" s="2"/>
      <c r="T34" s="2"/>
      <c r="U34" s="2"/>
      <c r="V34" s="2"/>
    </row>
    <row r="35" spans="1:39" ht="12.95">
      <c r="I35" s="4"/>
      <c r="J35" s="4"/>
      <c r="K35" s="4"/>
      <c r="L35" s="4"/>
      <c r="M35" s="4"/>
      <c r="N35" s="4"/>
      <c r="O35" s="4"/>
      <c r="P35" s="2"/>
      <c r="Q35" s="2"/>
      <c r="R35" s="2"/>
      <c r="S35" s="2"/>
      <c r="T35" s="2"/>
      <c r="U35" s="2"/>
      <c r="V35" s="2"/>
    </row>
    <row r="36" spans="1:39" ht="12.95">
      <c r="I36" s="4"/>
      <c r="J36" s="4"/>
      <c r="K36" s="4"/>
      <c r="L36" s="4"/>
      <c r="M36" s="4"/>
      <c r="N36" s="4"/>
      <c r="O36" s="4"/>
      <c r="P36" s="2"/>
      <c r="Q36" s="2"/>
      <c r="R36" s="2"/>
      <c r="S36" s="2"/>
      <c r="T36" s="2"/>
      <c r="U36" s="2"/>
      <c r="V36" s="2"/>
    </row>
    <row r="37" spans="1:39" ht="12.95">
      <c r="I37" s="4"/>
      <c r="J37" s="4"/>
      <c r="K37" s="4"/>
      <c r="L37" s="4"/>
      <c r="M37" s="4"/>
      <c r="N37" s="4"/>
      <c r="O37" s="4"/>
      <c r="P37" s="2"/>
      <c r="Q37" s="2"/>
      <c r="R37" s="2"/>
      <c r="S37" s="2"/>
      <c r="T37" s="2"/>
      <c r="U37" s="2"/>
      <c r="V37" s="2"/>
    </row>
    <row r="38" spans="1:39" ht="12.95">
      <c r="I38" s="4"/>
      <c r="J38" s="4"/>
      <c r="K38" s="4"/>
      <c r="L38" s="4"/>
      <c r="M38" s="4"/>
      <c r="N38" s="4"/>
      <c r="O38" s="4"/>
      <c r="P38" s="2"/>
      <c r="Q38" s="2"/>
      <c r="R38" s="2"/>
      <c r="S38" s="2"/>
      <c r="T38" s="2"/>
      <c r="U38" s="2"/>
      <c r="V38" s="2"/>
    </row>
    <row r="39" spans="1:39" ht="12.95">
      <c r="I39" s="4"/>
      <c r="J39" s="4"/>
      <c r="K39" s="4"/>
      <c r="L39" s="4"/>
      <c r="M39" s="4"/>
      <c r="N39" s="4"/>
      <c r="O39" s="4"/>
      <c r="P39" s="2"/>
      <c r="Q39" s="2"/>
      <c r="R39" s="2"/>
      <c r="S39" s="2"/>
      <c r="T39" s="2"/>
      <c r="U39" s="2"/>
      <c r="V39" s="2"/>
    </row>
    <row r="40" spans="1:39" ht="12.95">
      <c r="I40" s="4"/>
      <c r="J40" s="4"/>
      <c r="K40" s="4"/>
      <c r="L40" s="4"/>
      <c r="M40" s="4"/>
      <c r="N40" s="4"/>
      <c r="O40" s="4"/>
      <c r="P40" s="2"/>
      <c r="Q40" s="2"/>
      <c r="R40" s="2"/>
      <c r="S40" s="2"/>
      <c r="T40" s="2"/>
      <c r="U40" s="2"/>
      <c r="V40" s="2"/>
    </row>
    <row r="41" spans="1:39" ht="12.95">
      <c r="I41" s="4"/>
      <c r="J41" s="4"/>
      <c r="K41" s="4"/>
      <c r="L41" s="4"/>
      <c r="M41" s="4"/>
      <c r="N41" s="4"/>
      <c r="O41" s="4"/>
      <c r="P41" s="2"/>
      <c r="Q41" s="2"/>
      <c r="R41" s="2"/>
      <c r="S41" s="2"/>
      <c r="T41" s="2"/>
      <c r="U41" s="2"/>
      <c r="V41" s="2"/>
    </row>
    <row r="42" spans="1:39" ht="12.95">
      <c r="I42" s="4"/>
      <c r="J42" s="4"/>
      <c r="K42" s="4"/>
      <c r="L42" s="4"/>
      <c r="M42" s="4"/>
      <c r="N42" s="4"/>
      <c r="O42" s="4"/>
      <c r="P42" s="2"/>
      <c r="Q42" s="2"/>
      <c r="R42" s="2"/>
      <c r="S42" s="2"/>
      <c r="T42" s="2"/>
      <c r="U42" s="2"/>
      <c r="V42" s="2"/>
    </row>
    <row r="43" spans="1:39" ht="12.95">
      <c r="I43" s="4"/>
      <c r="J43" s="4"/>
      <c r="K43" s="4"/>
      <c r="L43" s="4"/>
      <c r="M43" s="4"/>
      <c r="N43" s="4"/>
      <c r="O43" s="4"/>
      <c r="P43" s="2"/>
      <c r="Q43" s="2"/>
      <c r="R43" s="2"/>
      <c r="S43" s="2"/>
      <c r="T43" s="2"/>
      <c r="U43" s="2"/>
      <c r="V43" s="2"/>
    </row>
    <row r="44" spans="1:39" ht="12.95">
      <c r="I44" s="4"/>
      <c r="J44" s="4"/>
      <c r="K44" s="4"/>
      <c r="L44" s="4"/>
      <c r="M44" s="4"/>
      <c r="N44" s="4"/>
      <c r="O44" s="4"/>
      <c r="P44" s="2"/>
      <c r="Q44" s="2"/>
      <c r="R44" s="2"/>
      <c r="S44" s="2"/>
      <c r="T44" s="2"/>
      <c r="U44" s="2"/>
      <c r="V44" s="2"/>
    </row>
    <row r="45" spans="1:39" ht="13.5" thickBot="1">
      <c r="I45" s="4"/>
      <c r="J45" s="4"/>
      <c r="K45" s="4"/>
      <c r="L45" s="4"/>
      <c r="M45" s="4"/>
      <c r="N45" s="4"/>
      <c r="O45" s="4"/>
      <c r="P45" s="2"/>
      <c r="Q45" s="2"/>
      <c r="R45" s="2"/>
      <c r="S45" s="2"/>
      <c r="T45" s="2"/>
      <c r="U45" s="2"/>
      <c r="V45" s="2"/>
    </row>
    <row r="46" spans="1:39" ht="12.95">
      <c r="A46" s="10"/>
      <c r="B46" s="11"/>
      <c r="C46" s="11"/>
      <c r="D46" s="11"/>
      <c r="E46" s="11"/>
      <c r="F46" s="11"/>
      <c r="G46" s="11"/>
      <c r="H46" s="11"/>
      <c r="I46" s="12"/>
      <c r="J46" s="12"/>
      <c r="K46" s="12"/>
      <c r="L46" s="12"/>
      <c r="M46" s="12"/>
      <c r="N46" s="12"/>
      <c r="O46" s="12"/>
      <c r="P46" s="13"/>
      <c r="Q46" s="13"/>
      <c r="R46" s="13"/>
      <c r="S46" s="13"/>
      <c r="T46" s="13"/>
      <c r="U46" s="13"/>
      <c r="V46" s="13"/>
      <c r="W46" s="11"/>
      <c r="X46" s="11"/>
      <c r="Y46" s="11"/>
      <c r="Z46" s="11"/>
      <c r="AA46" s="11"/>
      <c r="AB46" s="11"/>
      <c r="AC46" s="11"/>
      <c r="AD46" s="11"/>
      <c r="AE46" s="11"/>
      <c r="AF46" s="11"/>
      <c r="AG46" s="11"/>
      <c r="AH46" s="11"/>
      <c r="AI46" s="11"/>
      <c r="AJ46" s="11"/>
      <c r="AK46" s="11"/>
      <c r="AL46" s="11"/>
      <c r="AM46" s="14"/>
    </row>
    <row r="47" spans="1:39" ht="12.95">
      <c r="A47" s="15"/>
      <c r="I47" s="4"/>
      <c r="J47" s="4"/>
      <c r="K47" s="4"/>
      <c r="L47" s="4"/>
      <c r="M47" s="4"/>
      <c r="N47" s="4"/>
      <c r="O47" s="4"/>
      <c r="P47" s="2"/>
      <c r="Q47" s="2"/>
      <c r="R47" s="2"/>
      <c r="S47" s="2"/>
      <c r="T47" s="2"/>
      <c r="U47" s="2"/>
      <c r="V47" s="2"/>
      <c r="AM47" s="16"/>
    </row>
    <row r="48" spans="1:39" ht="12.75" customHeight="1">
      <c r="A48" s="15"/>
      <c r="AM48" s="16"/>
    </row>
    <row r="49" spans="1:54" ht="14.1" customHeight="1">
      <c r="A49" s="15"/>
      <c r="AM49" s="16"/>
    </row>
    <row r="50" spans="1:54" ht="12.75" customHeight="1">
      <c r="A50" s="15"/>
      <c r="AM50" s="16"/>
    </row>
    <row r="51" spans="1:54" ht="13.5" thickBot="1">
      <c r="A51" s="40"/>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c r="AB51" s="41"/>
      <c r="AC51" s="41"/>
      <c r="AD51" s="41"/>
      <c r="AE51" s="41"/>
      <c r="AF51" s="41"/>
      <c r="AG51" s="41"/>
      <c r="AH51" s="41"/>
      <c r="AI51" s="41"/>
      <c r="AJ51" s="41"/>
      <c r="AK51" s="41"/>
      <c r="AL51" s="41"/>
      <c r="AM51" s="42"/>
    </row>
    <row r="52" spans="1:54" ht="14.1" customHeight="1">
      <c r="A52" s="518" t="s">
        <v>37</v>
      </c>
      <c r="B52" s="519"/>
      <c r="C52" s="519"/>
      <c r="D52" s="519"/>
      <c r="E52" s="519"/>
      <c r="F52" s="520"/>
      <c r="G52" s="521" t="s">
        <v>38</v>
      </c>
      <c r="H52" s="522"/>
      <c r="I52" s="522"/>
      <c r="J52" s="522"/>
      <c r="K52" s="522"/>
      <c r="L52" s="522"/>
      <c r="M52" s="522"/>
      <c r="N52" s="522"/>
      <c r="O52" s="522"/>
      <c r="P52" s="522"/>
      <c r="Q52" s="522"/>
      <c r="R52" s="522"/>
      <c r="S52" s="522"/>
      <c r="T52" s="522"/>
      <c r="U52" s="522"/>
      <c r="V52" s="522"/>
      <c r="W52" s="522"/>
      <c r="X52" s="522"/>
      <c r="Y52" s="522"/>
      <c r="Z52" s="522"/>
      <c r="AA52" s="522"/>
      <c r="AB52" s="522"/>
      <c r="AC52" s="522"/>
      <c r="AD52" s="522"/>
      <c r="AE52" s="522"/>
      <c r="AF52" s="522"/>
      <c r="AG52" s="522"/>
      <c r="AH52" s="522"/>
      <c r="AI52" s="522"/>
      <c r="AJ52" s="522"/>
      <c r="AK52" s="522"/>
      <c r="AL52" s="522"/>
      <c r="AM52" s="523"/>
    </row>
    <row r="53" spans="1:54" ht="14.1" customHeight="1">
      <c r="A53" s="512" t="s">
        <v>39</v>
      </c>
      <c r="B53" s="513"/>
      <c r="C53" s="513"/>
      <c r="D53" s="513"/>
      <c r="E53" s="513"/>
      <c r="F53" s="514"/>
      <c r="G53" s="515" t="s">
        <v>40</v>
      </c>
      <c r="H53" s="516"/>
      <c r="I53" s="516"/>
      <c r="J53" s="516"/>
      <c r="K53" s="516"/>
      <c r="L53" s="516"/>
      <c r="M53" s="516"/>
      <c r="N53" s="516"/>
      <c r="O53" s="516"/>
      <c r="P53" s="516"/>
      <c r="Q53" s="516"/>
      <c r="R53" s="516"/>
      <c r="S53" s="516"/>
      <c r="T53" s="516"/>
      <c r="U53" s="516"/>
      <c r="V53" s="516"/>
      <c r="W53" s="516"/>
      <c r="X53" s="516"/>
      <c r="Y53" s="516"/>
      <c r="Z53" s="516"/>
      <c r="AA53" s="516"/>
      <c r="AB53" s="516"/>
      <c r="AC53" s="516"/>
      <c r="AD53" s="516"/>
      <c r="AE53" s="516"/>
      <c r="AF53" s="516"/>
      <c r="AG53" s="516"/>
      <c r="AH53" s="516"/>
      <c r="AI53" s="516"/>
      <c r="AJ53" s="516"/>
      <c r="AK53" s="516"/>
      <c r="AL53" s="516"/>
      <c r="AM53" s="517"/>
    </row>
    <row r="54" spans="1:54" ht="14.1" customHeight="1">
      <c r="A54" s="512" t="s">
        <v>41</v>
      </c>
      <c r="B54" s="513"/>
      <c r="C54" s="513"/>
      <c r="D54" s="513"/>
      <c r="E54" s="513"/>
      <c r="F54" s="514"/>
      <c r="G54" s="515" t="s">
        <v>42</v>
      </c>
      <c r="H54" s="516"/>
      <c r="I54" s="516"/>
      <c r="J54" s="516"/>
      <c r="K54" s="516"/>
      <c r="L54" s="516"/>
      <c r="M54" s="516"/>
      <c r="N54" s="516"/>
      <c r="O54" s="516"/>
      <c r="P54" s="516"/>
      <c r="Q54" s="516"/>
      <c r="R54" s="516"/>
      <c r="S54" s="516"/>
      <c r="T54" s="516"/>
      <c r="U54" s="516"/>
      <c r="V54" s="516"/>
      <c r="W54" s="516"/>
      <c r="X54" s="516"/>
      <c r="Y54" s="516"/>
      <c r="Z54" s="516"/>
      <c r="AA54" s="516"/>
      <c r="AB54" s="516"/>
      <c r="AC54" s="516"/>
      <c r="AD54" s="516"/>
      <c r="AE54" s="516"/>
      <c r="AF54" s="516"/>
      <c r="AG54" s="516"/>
      <c r="AH54" s="516"/>
      <c r="AI54" s="516"/>
      <c r="AJ54" s="516"/>
      <c r="AK54" s="516"/>
      <c r="AL54" s="516"/>
      <c r="AM54" s="517"/>
    </row>
    <row r="55" spans="1:54" ht="14.1" customHeight="1">
      <c r="A55" s="512" t="s">
        <v>43</v>
      </c>
      <c r="B55" s="513"/>
      <c r="C55" s="513"/>
      <c r="D55" s="513"/>
      <c r="E55" s="513"/>
      <c r="F55" s="514"/>
      <c r="G55" s="515" t="s">
        <v>44</v>
      </c>
      <c r="H55" s="516"/>
      <c r="I55" s="516"/>
      <c r="J55" s="516"/>
      <c r="K55" s="516"/>
      <c r="L55" s="516"/>
      <c r="M55" s="516"/>
      <c r="N55" s="516"/>
      <c r="O55" s="516"/>
      <c r="P55" s="516"/>
      <c r="Q55" s="516"/>
      <c r="R55" s="516"/>
      <c r="S55" s="516"/>
      <c r="T55" s="516"/>
      <c r="U55" s="516"/>
      <c r="V55" s="516"/>
      <c r="W55" s="516"/>
      <c r="X55" s="516"/>
      <c r="Y55" s="516"/>
      <c r="Z55" s="516"/>
      <c r="AA55" s="516"/>
      <c r="AB55" s="516"/>
      <c r="AC55" s="516"/>
      <c r="AD55" s="516"/>
      <c r="AE55" s="516"/>
      <c r="AF55" s="516"/>
      <c r="AG55" s="516"/>
      <c r="AH55" s="516"/>
      <c r="AI55" s="516"/>
      <c r="AJ55" s="516"/>
      <c r="AK55" s="516"/>
      <c r="AL55" s="516"/>
      <c r="AM55" s="517"/>
    </row>
    <row r="56" spans="1:54" ht="14.1" customHeight="1">
      <c r="A56" s="524" t="s">
        <v>45</v>
      </c>
      <c r="B56" s="525"/>
      <c r="C56" s="525"/>
      <c r="D56" s="525"/>
      <c r="E56" s="525"/>
      <c r="F56" s="526"/>
      <c r="G56" s="527" t="s">
        <v>46</v>
      </c>
      <c r="H56" s="528"/>
      <c r="I56" s="528"/>
      <c r="J56" s="528"/>
      <c r="K56" s="528"/>
      <c r="L56" s="528"/>
      <c r="M56" s="528"/>
      <c r="N56" s="528"/>
      <c r="O56" s="528"/>
      <c r="P56" s="528"/>
      <c r="Q56" s="528"/>
      <c r="R56" s="528"/>
      <c r="S56" s="528"/>
      <c r="T56" s="528"/>
      <c r="U56" s="528"/>
      <c r="V56" s="528"/>
      <c r="W56" s="528"/>
      <c r="X56" s="528"/>
      <c r="Y56" s="528"/>
      <c r="Z56" s="528"/>
      <c r="AA56" s="528"/>
      <c r="AB56" s="528"/>
      <c r="AC56" s="528"/>
      <c r="AD56" s="528"/>
      <c r="AE56" s="528"/>
      <c r="AF56" s="528"/>
      <c r="AG56" s="528"/>
      <c r="AH56" s="528"/>
      <c r="AI56" s="528"/>
      <c r="AJ56" s="528"/>
      <c r="AK56" s="528"/>
      <c r="AL56" s="528"/>
      <c r="AM56" s="529"/>
    </row>
    <row r="57" spans="1:54" s="6" customFormat="1" ht="47.25" customHeight="1">
      <c r="A57" s="69" t="s">
        <v>47</v>
      </c>
      <c r="B57" s="462" t="s">
        <v>48</v>
      </c>
      <c r="C57" s="462"/>
      <c r="D57" s="463" t="s">
        <v>49</v>
      </c>
      <c r="E57" s="464"/>
      <c r="F57" s="464"/>
      <c r="G57" s="464"/>
      <c r="H57" s="464"/>
      <c r="I57" s="464"/>
      <c r="J57" s="464"/>
      <c r="K57" s="464"/>
      <c r="L57" s="464"/>
      <c r="M57" s="464"/>
      <c r="N57" s="464"/>
      <c r="O57" s="464"/>
      <c r="P57" s="464"/>
      <c r="Q57" s="464"/>
      <c r="R57" s="464"/>
      <c r="S57" s="464"/>
      <c r="T57" s="464"/>
      <c r="U57" s="464"/>
      <c r="V57" s="464"/>
      <c r="W57" s="464"/>
      <c r="X57" s="464"/>
      <c r="Y57" s="464"/>
      <c r="Z57" s="464"/>
      <c r="AA57" s="464"/>
      <c r="AB57" s="464"/>
      <c r="AC57" s="464"/>
      <c r="AD57" s="464"/>
      <c r="AE57" s="464"/>
      <c r="AF57" s="464"/>
      <c r="AG57" s="464"/>
      <c r="AH57" s="464"/>
      <c r="AI57" s="464"/>
      <c r="AJ57" s="464"/>
      <c r="AK57" s="107" t="s">
        <v>50</v>
      </c>
      <c r="AL57" s="46" t="s">
        <v>51</v>
      </c>
      <c r="AM57" s="46" t="s">
        <v>52</v>
      </c>
      <c r="AN57" s="141" t="s">
        <v>53</v>
      </c>
      <c r="AO57" s="75" t="s">
        <v>54</v>
      </c>
      <c r="AP57" s="76" t="s">
        <v>55</v>
      </c>
      <c r="AQ57" s="76" t="s">
        <v>56</v>
      </c>
      <c r="AR57" s="76" t="s">
        <v>57</v>
      </c>
      <c r="AS57" s="76" t="s">
        <v>58</v>
      </c>
      <c r="AT57" s="76" t="s">
        <v>59</v>
      </c>
      <c r="AU57" s="76" t="s">
        <v>60</v>
      </c>
      <c r="AV57" s="76" t="s">
        <v>61</v>
      </c>
      <c r="AW57" s="76" t="s">
        <v>62</v>
      </c>
      <c r="AX57" s="76" t="s">
        <v>63</v>
      </c>
      <c r="AY57" s="76" t="s">
        <v>64</v>
      </c>
      <c r="AZ57" s="76" t="s">
        <v>65</v>
      </c>
      <c r="BA57" s="76" t="s">
        <v>66</v>
      </c>
      <c r="BB57" s="77" t="s">
        <v>67</v>
      </c>
    </row>
    <row r="58" spans="1:54" s="3" customFormat="1" ht="14.1" customHeight="1">
      <c r="A58" s="85">
        <v>46023</v>
      </c>
      <c r="B58" s="465"/>
      <c r="C58" s="466"/>
      <c r="D58" s="467"/>
      <c r="E58" s="467"/>
      <c r="F58" s="467"/>
      <c r="G58" s="467"/>
      <c r="H58" s="467"/>
      <c r="I58" s="467"/>
      <c r="J58" s="467"/>
      <c r="K58" s="467"/>
      <c r="L58" s="467"/>
      <c r="M58" s="467"/>
      <c r="N58" s="467"/>
      <c r="O58" s="467"/>
      <c r="P58" s="467"/>
      <c r="Q58" s="467"/>
      <c r="R58" s="467"/>
      <c r="S58" s="467"/>
      <c r="T58" s="467"/>
      <c r="U58" s="467"/>
      <c r="V58" s="467"/>
      <c r="W58" s="467"/>
      <c r="X58" s="467"/>
      <c r="Y58" s="467"/>
      <c r="Z58" s="467"/>
      <c r="AA58" s="467"/>
      <c r="AB58" s="467"/>
      <c r="AC58" s="467"/>
      <c r="AD58" s="467"/>
      <c r="AE58" s="467"/>
      <c r="AF58" s="467"/>
      <c r="AG58" s="467"/>
      <c r="AH58" s="467"/>
      <c r="AI58" s="467"/>
      <c r="AJ58" s="468"/>
      <c r="AK58" s="101"/>
      <c r="AL58" s="104"/>
      <c r="AM58" s="132"/>
      <c r="AN58" s="142"/>
      <c r="AO58" s="136">
        <f t="shared" ref="AO58:AO92" si="3">A58</f>
        <v>46023</v>
      </c>
      <c r="AP58" s="86" t="str">
        <f>LEFT(D58,6)</f>
        <v/>
      </c>
      <c r="AQ58" s="87"/>
      <c r="AR58" s="88"/>
      <c r="AS58" s="202"/>
      <c r="AT58" s="199"/>
      <c r="AU58" s="204"/>
      <c r="AV58" s="89"/>
      <c r="AW58" s="88"/>
      <c r="AX58" s="89"/>
      <c r="AY58" s="88"/>
      <c r="AZ58" s="88"/>
      <c r="BA58" s="89"/>
      <c r="BB58" s="90"/>
    </row>
    <row r="59" spans="1:54" s="3" customFormat="1" ht="14.1" customHeight="1">
      <c r="A59" s="71">
        <v>46024</v>
      </c>
      <c r="B59" s="507"/>
      <c r="C59" s="508"/>
      <c r="D59" s="509"/>
      <c r="E59" s="509"/>
      <c r="F59" s="509"/>
      <c r="G59" s="509"/>
      <c r="H59" s="509"/>
      <c r="I59" s="509"/>
      <c r="J59" s="509"/>
      <c r="K59" s="509"/>
      <c r="L59" s="509"/>
      <c r="M59" s="509"/>
      <c r="N59" s="509"/>
      <c r="O59" s="509"/>
      <c r="P59" s="509"/>
      <c r="Q59" s="509"/>
      <c r="R59" s="509"/>
      <c r="S59" s="509"/>
      <c r="T59" s="509"/>
      <c r="U59" s="509"/>
      <c r="V59" s="509"/>
      <c r="W59" s="509"/>
      <c r="X59" s="509"/>
      <c r="Y59" s="509"/>
      <c r="Z59" s="509"/>
      <c r="AA59" s="509"/>
      <c r="AB59" s="509"/>
      <c r="AC59" s="509"/>
      <c r="AD59" s="509"/>
      <c r="AE59" s="509"/>
      <c r="AF59" s="509"/>
      <c r="AG59" s="509"/>
      <c r="AH59" s="509"/>
      <c r="AI59" s="509"/>
      <c r="AJ59" s="510"/>
      <c r="AK59" s="103"/>
      <c r="AL59" s="106"/>
      <c r="AM59" s="133"/>
      <c r="AN59" s="143"/>
      <c r="AO59" s="137">
        <f t="shared" si="3"/>
        <v>46024</v>
      </c>
      <c r="AP59" s="96" t="str">
        <f t="shared" ref="AP59:AP92" si="4">LEFT(D59,6)</f>
        <v/>
      </c>
      <c r="AQ59" s="97"/>
      <c r="AR59" s="98"/>
      <c r="AS59" s="161"/>
      <c r="AT59" s="155"/>
      <c r="AU59" s="165"/>
      <c r="AV59" s="99"/>
      <c r="AW59" s="98"/>
      <c r="AX59" s="99"/>
      <c r="AY59" s="98"/>
      <c r="AZ59" s="98"/>
      <c r="BA59" s="98"/>
      <c r="BB59" s="100"/>
    </row>
    <row r="60" spans="1:54" s="3" customFormat="1" ht="14.1" customHeight="1">
      <c r="A60" s="70">
        <v>46025</v>
      </c>
      <c r="B60" s="457"/>
      <c r="C60" s="457"/>
      <c r="D60" s="440"/>
      <c r="E60" s="440"/>
      <c r="F60" s="440"/>
      <c r="G60" s="440"/>
      <c r="H60" s="440"/>
      <c r="I60" s="440"/>
      <c r="J60" s="440"/>
      <c r="K60" s="440"/>
      <c r="L60" s="440"/>
      <c r="M60" s="440"/>
      <c r="N60" s="440"/>
      <c r="O60" s="440"/>
      <c r="P60" s="440"/>
      <c r="Q60" s="440"/>
      <c r="R60" s="440"/>
      <c r="S60" s="440"/>
      <c r="T60" s="440"/>
      <c r="U60" s="440"/>
      <c r="V60" s="440"/>
      <c r="W60" s="440"/>
      <c r="X60" s="440"/>
      <c r="Y60" s="440"/>
      <c r="Z60" s="440"/>
      <c r="AA60" s="440"/>
      <c r="AB60" s="440"/>
      <c r="AC60" s="440"/>
      <c r="AD60" s="440"/>
      <c r="AE60" s="440"/>
      <c r="AF60" s="440"/>
      <c r="AG60" s="440"/>
      <c r="AH60" s="440"/>
      <c r="AI60" s="440"/>
      <c r="AJ60" s="441"/>
      <c r="AK60" s="102"/>
      <c r="AL60" s="105"/>
      <c r="AM60" s="134"/>
      <c r="AN60" s="144"/>
      <c r="AO60" s="138">
        <f t="shared" si="3"/>
        <v>46025</v>
      </c>
      <c r="AP60" s="78" t="str">
        <f t="shared" si="4"/>
        <v/>
      </c>
      <c r="AQ60" s="79"/>
      <c r="AR60" s="80"/>
      <c r="AS60" s="162"/>
      <c r="AT60" s="156"/>
      <c r="AU60" s="166"/>
      <c r="AV60" s="72"/>
      <c r="AW60" s="80"/>
      <c r="AX60" s="80"/>
      <c r="AY60" s="80"/>
      <c r="AZ60" s="80"/>
      <c r="BA60" s="80"/>
      <c r="BB60" s="91"/>
    </row>
    <row r="61" spans="1:54" s="3" customFormat="1" ht="14.1" customHeight="1">
      <c r="A61" s="70">
        <v>46026</v>
      </c>
      <c r="B61" s="457"/>
      <c r="C61" s="457"/>
      <c r="D61" s="440"/>
      <c r="E61" s="440"/>
      <c r="F61" s="440"/>
      <c r="G61" s="440"/>
      <c r="H61" s="440"/>
      <c r="I61" s="440"/>
      <c r="J61" s="440"/>
      <c r="K61" s="440"/>
      <c r="L61" s="440"/>
      <c r="M61" s="440"/>
      <c r="N61" s="440"/>
      <c r="O61" s="440"/>
      <c r="P61" s="440"/>
      <c r="Q61" s="440"/>
      <c r="R61" s="440"/>
      <c r="S61" s="440"/>
      <c r="T61" s="440"/>
      <c r="U61" s="440"/>
      <c r="V61" s="440"/>
      <c r="W61" s="440"/>
      <c r="X61" s="440"/>
      <c r="Y61" s="440"/>
      <c r="Z61" s="440"/>
      <c r="AA61" s="440"/>
      <c r="AB61" s="440"/>
      <c r="AC61" s="440"/>
      <c r="AD61" s="440"/>
      <c r="AE61" s="440"/>
      <c r="AF61" s="440"/>
      <c r="AG61" s="440"/>
      <c r="AH61" s="440"/>
      <c r="AI61" s="440"/>
      <c r="AJ61" s="441"/>
      <c r="AK61" s="102"/>
      <c r="AL61" s="105"/>
      <c r="AM61" s="134"/>
      <c r="AN61" s="144"/>
      <c r="AO61" s="138">
        <f t="shared" si="3"/>
        <v>46026</v>
      </c>
      <c r="AP61" s="78" t="str">
        <f t="shared" si="4"/>
        <v/>
      </c>
      <c r="AQ61" s="79"/>
      <c r="AR61" s="80"/>
      <c r="AS61" s="162"/>
      <c r="AT61" s="156"/>
      <c r="AU61" s="166"/>
      <c r="AV61" s="72"/>
      <c r="AW61" s="80"/>
      <c r="AX61" s="72"/>
      <c r="AY61" s="80"/>
      <c r="AZ61" s="80"/>
      <c r="BA61" s="80"/>
      <c r="BB61" s="92"/>
    </row>
    <row r="62" spans="1:54" s="3" customFormat="1" ht="57.95">
      <c r="A62" s="111">
        <v>46027</v>
      </c>
      <c r="B62" s="454" t="s">
        <v>68</v>
      </c>
      <c r="C62" s="454"/>
      <c r="D62" s="455" t="s">
        <v>69</v>
      </c>
      <c r="E62" s="455"/>
      <c r="F62" s="455"/>
      <c r="G62" s="455"/>
      <c r="H62" s="455"/>
      <c r="I62" s="455"/>
      <c r="J62" s="455"/>
      <c r="K62" s="455"/>
      <c r="L62" s="455"/>
      <c r="M62" s="455"/>
      <c r="N62" s="455"/>
      <c r="O62" s="455"/>
      <c r="P62" s="455"/>
      <c r="Q62" s="455"/>
      <c r="R62" s="455"/>
      <c r="S62" s="455"/>
      <c r="T62" s="455"/>
      <c r="U62" s="455"/>
      <c r="V62" s="455"/>
      <c r="W62" s="455"/>
      <c r="X62" s="455"/>
      <c r="Y62" s="455"/>
      <c r="Z62" s="455"/>
      <c r="AA62" s="455"/>
      <c r="AB62" s="455"/>
      <c r="AC62" s="455"/>
      <c r="AD62" s="455"/>
      <c r="AE62" s="455"/>
      <c r="AF62" s="455"/>
      <c r="AG62" s="455"/>
      <c r="AH62" s="455"/>
      <c r="AI62" s="455"/>
      <c r="AJ62" s="456"/>
      <c r="AK62" s="112">
        <v>78.47999999999999</v>
      </c>
      <c r="AL62" s="113">
        <v>8</v>
      </c>
      <c r="AM62" s="135">
        <f>IF(AL62="CO", "CO", IF(COUNTIF(AO:AO, A62)=0, 0, (8-SUMIF(AO:AO, A62, AL:AL)) / COUNTIF(AO:AO, A62)))</f>
        <v>0</v>
      </c>
      <c r="AN62" s="208" t="s">
        <v>70</v>
      </c>
      <c r="AO62" s="139">
        <f t="shared" si="3"/>
        <v>46027</v>
      </c>
      <c r="AP62" s="114" t="str">
        <f t="shared" si="4"/>
        <v xml:space="preserve">SA1.1 </v>
      </c>
      <c r="AQ62" s="115" t="s">
        <v>71</v>
      </c>
      <c r="AR62" s="116" t="s">
        <v>72</v>
      </c>
      <c r="AS62" s="163" t="s">
        <v>73</v>
      </c>
      <c r="AT62" s="205" t="s">
        <v>74</v>
      </c>
      <c r="AU62" s="167"/>
      <c r="AV62" s="84"/>
      <c r="AW62" s="116"/>
      <c r="AX62" s="116"/>
      <c r="AY62" s="116"/>
      <c r="AZ62" s="116"/>
      <c r="BA62" s="116"/>
      <c r="BB62" s="119"/>
    </row>
    <row r="63" spans="1:54" s="3" customFormat="1" ht="14.1" customHeight="1">
      <c r="A63" s="71">
        <v>46028</v>
      </c>
      <c r="B63" s="511"/>
      <c r="C63" s="511"/>
      <c r="D63" s="509"/>
      <c r="E63" s="509"/>
      <c r="F63" s="509"/>
      <c r="G63" s="509"/>
      <c r="H63" s="509"/>
      <c r="I63" s="509"/>
      <c r="J63" s="509"/>
      <c r="K63" s="509"/>
      <c r="L63" s="509"/>
      <c r="M63" s="509"/>
      <c r="N63" s="509"/>
      <c r="O63" s="509"/>
      <c r="P63" s="509"/>
      <c r="Q63" s="509"/>
      <c r="R63" s="509"/>
      <c r="S63" s="509"/>
      <c r="T63" s="509"/>
      <c r="U63" s="509"/>
      <c r="V63" s="509"/>
      <c r="W63" s="509"/>
      <c r="X63" s="509"/>
      <c r="Y63" s="509"/>
      <c r="Z63" s="509"/>
      <c r="AA63" s="509"/>
      <c r="AB63" s="509"/>
      <c r="AC63" s="509"/>
      <c r="AD63" s="509"/>
      <c r="AE63" s="509"/>
      <c r="AF63" s="509"/>
      <c r="AG63" s="509"/>
      <c r="AH63" s="509"/>
      <c r="AI63" s="509"/>
      <c r="AJ63" s="510"/>
      <c r="AK63" s="103"/>
      <c r="AL63" s="106"/>
      <c r="AM63" s="133"/>
      <c r="AN63" s="143"/>
      <c r="AO63" s="137">
        <f t="shared" si="3"/>
        <v>46028</v>
      </c>
      <c r="AP63" s="96" t="str">
        <f t="shared" si="4"/>
        <v/>
      </c>
      <c r="AQ63" s="97"/>
      <c r="AR63" s="98"/>
      <c r="AS63" s="161"/>
      <c r="AT63" s="155"/>
      <c r="AU63" s="165"/>
      <c r="AV63" s="123"/>
      <c r="AW63" s="98"/>
      <c r="AX63" s="99"/>
      <c r="AY63" s="98"/>
      <c r="AZ63" s="98"/>
      <c r="BA63" s="98"/>
      <c r="BB63" s="100"/>
    </row>
    <row r="64" spans="1:54" s="3" customFormat="1" ht="14.1" customHeight="1">
      <c r="A64" s="71">
        <v>46029</v>
      </c>
      <c r="B64" s="511"/>
      <c r="C64" s="511"/>
      <c r="D64" s="509"/>
      <c r="E64" s="509"/>
      <c r="F64" s="509"/>
      <c r="G64" s="509"/>
      <c r="H64" s="509"/>
      <c r="I64" s="509"/>
      <c r="J64" s="509"/>
      <c r="K64" s="509"/>
      <c r="L64" s="509"/>
      <c r="M64" s="509"/>
      <c r="N64" s="509"/>
      <c r="O64" s="509"/>
      <c r="P64" s="509"/>
      <c r="Q64" s="509"/>
      <c r="R64" s="509"/>
      <c r="S64" s="509"/>
      <c r="T64" s="509"/>
      <c r="U64" s="509"/>
      <c r="V64" s="509"/>
      <c r="W64" s="509"/>
      <c r="X64" s="509"/>
      <c r="Y64" s="509"/>
      <c r="Z64" s="509"/>
      <c r="AA64" s="509"/>
      <c r="AB64" s="509"/>
      <c r="AC64" s="509"/>
      <c r="AD64" s="509"/>
      <c r="AE64" s="509"/>
      <c r="AF64" s="509"/>
      <c r="AG64" s="509"/>
      <c r="AH64" s="509"/>
      <c r="AI64" s="509"/>
      <c r="AJ64" s="510"/>
      <c r="AK64" s="103"/>
      <c r="AL64" s="106"/>
      <c r="AM64" s="133"/>
      <c r="AN64" s="143"/>
      <c r="AO64" s="137">
        <f t="shared" si="3"/>
        <v>46029</v>
      </c>
      <c r="AP64" s="96" t="str">
        <f t="shared" si="4"/>
        <v/>
      </c>
      <c r="AQ64" s="97"/>
      <c r="AR64" s="131"/>
      <c r="AS64" s="161"/>
      <c r="AT64" s="155"/>
      <c r="AU64" s="165"/>
      <c r="AV64" s="99"/>
      <c r="AW64" s="98"/>
      <c r="AX64" s="99"/>
      <c r="AY64" s="98"/>
      <c r="AZ64" s="98"/>
      <c r="BA64" s="98"/>
      <c r="BB64" s="100"/>
    </row>
    <row r="65" spans="1:54" s="3" customFormat="1" ht="27" customHeight="1">
      <c r="A65" s="111">
        <v>46030</v>
      </c>
      <c r="B65" s="458" t="s">
        <v>68</v>
      </c>
      <c r="C65" s="459"/>
      <c r="D65" s="455" t="s">
        <v>69</v>
      </c>
      <c r="E65" s="455"/>
      <c r="F65" s="455"/>
      <c r="G65" s="455"/>
      <c r="H65" s="455"/>
      <c r="I65" s="455"/>
      <c r="J65" s="455"/>
      <c r="K65" s="455"/>
      <c r="L65" s="455"/>
      <c r="M65" s="455"/>
      <c r="N65" s="455"/>
      <c r="O65" s="455"/>
      <c r="P65" s="455"/>
      <c r="Q65" s="455"/>
      <c r="R65" s="455"/>
      <c r="S65" s="455"/>
      <c r="T65" s="455"/>
      <c r="U65" s="455"/>
      <c r="V65" s="455"/>
      <c r="W65" s="455"/>
      <c r="X65" s="455"/>
      <c r="Y65" s="455"/>
      <c r="Z65" s="455"/>
      <c r="AA65" s="455"/>
      <c r="AB65" s="455"/>
      <c r="AC65" s="455"/>
      <c r="AD65" s="455"/>
      <c r="AE65" s="455"/>
      <c r="AF65" s="455"/>
      <c r="AG65" s="455"/>
      <c r="AH65" s="455"/>
      <c r="AI65" s="455"/>
      <c r="AJ65" s="456"/>
      <c r="AK65" s="112">
        <v>78.47999999999999</v>
      </c>
      <c r="AL65" s="113" t="s">
        <v>5</v>
      </c>
      <c r="AM65" s="135" t="str">
        <f>IF(AL65="CO", "CO", IF(COUNTIF(AO:AO, A65)=0, 0, (8-SUMIF(AO:AO, A65, AL:AL)) / COUNTIF(AO:AO, A65)))</f>
        <v>CO</v>
      </c>
      <c r="AN65" s="146"/>
      <c r="AO65" s="139">
        <f t="shared" si="3"/>
        <v>46030</v>
      </c>
      <c r="AP65" s="114" t="str">
        <f t="shared" si="4"/>
        <v xml:space="preserve">SA1.1 </v>
      </c>
      <c r="AQ65" s="115"/>
      <c r="AR65" s="116"/>
      <c r="AS65" s="163"/>
      <c r="AT65" s="157"/>
      <c r="AU65" s="167"/>
      <c r="AV65" s="118"/>
      <c r="AW65" s="116"/>
      <c r="AX65" s="120"/>
      <c r="AY65" s="116"/>
      <c r="AZ65" s="116"/>
      <c r="BA65" s="116"/>
      <c r="BB65" s="117"/>
    </row>
    <row r="66" spans="1:54" s="3" customFormat="1" ht="27" customHeight="1">
      <c r="A66" s="111">
        <v>46031</v>
      </c>
      <c r="B66" s="458" t="s">
        <v>68</v>
      </c>
      <c r="C66" s="459"/>
      <c r="D66" s="455" t="s">
        <v>69</v>
      </c>
      <c r="E66" s="455"/>
      <c r="F66" s="455"/>
      <c r="G66" s="455"/>
      <c r="H66" s="455"/>
      <c r="I66" s="455"/>
      <c r="J66" s="455"/>
      <c r="K66" s="455"/>
      <c r="L66" s="455"/>
      <c r="M66" s="455"/>
      <c r="N66" s="455"/>
      <c r="O66" s="455"/>
      <c r="P66" s="455"/>
      <c r="Q66" s="455"/>
      <c r="R66" s="455"/>
      <c r="S66" s="455"/>
      <c r="T66" s="455"/>
      <c r="U66" s="455"/>
      <c r="V66" s="455"/>
      <c r="W66" s="455"/>
      <c r="X66" s="455"/>
      <c r="Y66" s="455"/>
      <c r="Z66" s="455"/>
      <c r="AA66" s="455"/>
      <c r="AB66" s="455"/>
      <c r="AC66" s="455"/>
      <c r="AD66" s="455"/>
      <c r="AE66" s="455"/>
      <c r="AF66" s="455"/>
      <c r="AG66" s="455"/>
      <c r="AH66" s="455"/>
      <c r="AI66" s="455"/>
      <c r="AJ66" s="456"/>
      <c r="AK66" s="112">
        <v>78.47999999999999</v>
      </c>
      <c r="AL66" s="113" t="s">
        <v>5</v>
      </c>
      <c r="AM66" s="135" t="str">
        <f>IF(AL66="CO", "CO", IF(COUNTIF(AO:AO, A66)=0, 0, (8-SUMIF(AO:AO, A66, AL:AL)) / COUNTIF(AO:AO, A66)))</f>
        <v>CO</v>
      </c>
      <c r="AN66" s="147"/>
      <c r="AO66" s="139">
        <f>A66</f>
        <v>46031</v>
      </c>
      <c r="AP66" s="114" t="str">
        <f>LEFT(D66,6)</f>
        <v xml:space="preserve">SA1.1 </v>
      </c>
      <c r="AQ66" s="115"/>
      <c r="AR66" s="116"/>
      <c r="AS66" s="163"/>
      <c r="AT66" s="157"/>
      <c r="AU66" s="167"/>
      <c r="AV66" s="118"/>
      <c r="AW66" s="116"/>
      <c r="AX66" s="120"/>
      <c r="AY66" s="116"/>
      <c r="AZ66" s="116"/>
      <c r="BA66" s="116"/>
      <c r="BB66" s="117"/>
    </row>
    <row r="67" spans="1:54" s="3" customFormat="1" ht="14.1" customHeight="1">
      <c r="A67" s="70">
        <v>46032</v>
      </c>
      <c r="B67" s="457"/>
      <c r="C67" s="457"/>
      <c r="D67" s="440"/>
      <c r="E67" s="440"/>
      <c r="F67" s="440"/>
      <c r="G67" s="440"/>
      <c r="H67" s="440"/>
      <c r="I67" s="440"/>
      <c r="J67" s="440"/>
      <c r="K67" s="440"/>
      <c r="L67" s="440"/>
      <c r="M67" s="440"/>
      <c r="N67" s="440"/>
      <c r="O67" s="440"/>
      <c r="P67" s="440"/>
      <c r="Q67" s="440"/>
      <c r="R67" s="440"/>
      <c r="S67" s="440"/>
      <c r="T67" s="440"/>
      <c r="U67" s="440"/>
      <c r="V67" s="440"/>
      <c r="W67" s="440"/>
      <c r="X67" s="440"/>
      <c r="Y67" s="440"/>
      <c r="Z67" s="440"/>
      <c r="AA67" s="440"/>
      <c r="AB67" s="440"/>
      <c r="AC67" s="440"/>
      <c r="AD67" s="440"/>
      <c r="AE67" s="440"/>
      <c r="AF67" s="440"/>
      <c r="AG67" s="440"/>
      <c r="AH67" s="440"/>
      <c r="AI67" s="440"/>
      <c r="AJ67" s="441"/>
      <c r="AK67" s="102"/>
      <c r="AL67" s="105"/>
      <c r="AM67" s="134"/>
      <c r="AN67" s="144"/>
      <c r="AO67" s="138">
        <f t="shared" si="3"/>
        <v>46032</v>
      </c>
      <c r="AP67" s="78" t="str">
        <f t="shared" si="4"/>
        <v/>
      </c>
      <c r="AQ67" s="79"/>
      <c r="AR67" s="80"/>
      <c r="AS67" s="162"/>
      <c r="AT67" s="156"/>
      <c r="AU67" s="166"/>
      <c r="AV67" s="72"/>
      <c r="AW67" s="80"/>
      <c r="AX67" s="82"/>
      <c r="AY67" s="80"/>
      <c r="AZ67" s="80"/>
      <c r="BA67" s="80"/>
      <c r="BB67" s="92"/>
    </row>
    <row r="68" spans="1:54" s="3" customFormat="1" ht="14.1" customHeight="1">
      <c r="A68" s="70">
        <v>46033</v>
      </c>
      <c r="B68" s="457"/>
      <c r="C68" s="457"/>
      <c r="D68" s="440"/>
      <c r="E68" s="440"/>
      <c r="F68" s="440"/>
      <c r="G68" s="440"/>
      <c r="H68" s="440"/>
      <c r="I68" s="440"/>
      <c r="J68" s="440"/>
      <c r="K68" s="440"/>
      <c r="L68" s="440"/>
      <c r="M68" s="440"/>
      <c r="N68" s="440"/>
      <c r="O68" s="440"/>
      <c r="P68" s="440"/>
      <c r="Q68" s="440"/>
      <c r="R68" s="440"/>
      <c r="S68" s="440"/>
      <c r="T68" s="440"/>
      <c r="U68" s="440"/>
      <c r="V68" s="440"/>
      <c r="W68" s="440"/>
      <c r="X68" s="440"/>
      <c r="Y68" s="440"/>
      <c r="Z68" s="440"/>
      <c r="AA68" s="440"/>
      <c r="AB68" s="440"/>
      <c r="AC68" s="440"/>
      <c r="AD68" s="440"/>
      <c r="AE68" s="440"/>
      <c r="AF68" s="440"/>
      <c r="AG68" s="440"/>
      <c r="AH68" s="440"/>
      <c r="AI68" s="440"/>
      <c r="AJ68" s="441"/>
      <c r="AK68" s="102"/>
      <c r="AL68" s="105"/>
      <c r="AM68" s="134"/>
      <c r="AN68" s="144"/>
      <c r="AO68" s="138">
        <f t="shared" si="3"/>
        <v>46033</v>
      </c>
      <c r="AP68" s="78" t="str">
        <f t="shared" si="4"/>
        <v/>
      </c>
      <c r="AQ68" s="79"/>
      <c r="AR68" s="80"/>
      <c r="AS68" s="162"/>
      <c r="AT68" s="158"/>
      <c r="AU68" s="166"/>
      <c r="AV68" s="81"/>
      <c r="AW68" s="80"/>
      <c r="AX68" s="82"/>
      <c r="AY68" s="80"/>
      <c r="AZ68" s="80"/>
      <c r="BA68" s="80"/>
      <c r="BB68" s="91"/>
    </row>
    <row r="69" spans="1:54" s="3" customFormat="1" ht="87">
      <c r="A69" s="111">
        <v>46034</v>
      </c>
      <c r="B69" s="454" t="s">
        <v>68</v>
      </c>
      <c r="C69" s="454"/>
      <c r="D69" s="455" t="s">
        <v>69</v>
      </c>
      <c r="E69" s="455"/>
      <c r="F69" s="455"/>
      <c r="G69" s="455"/>
      <c r="H69" s="455"/>
      <c r="I69" s="455"/>
      <c r="J69" s="455"/>
      <c r="K69" s="455"/>
      <c r="L69" s="455"/>
      <c r="M69" s="455"/>
      <c r="N69" s="455"/>
      <c r="O69" s="455"/>
      <c r="P69" s="455"/>
      <c r="Q69" s="455"/>
      <c r="R69" s="455"/>
      <c r="S69" s="455"/>
      <c r="T69" s="455"/>
      <c r="U69" s="455"/>
      <c r="V69" s="455"/>
      <c r="W69" s="455"/>
      <c r="X69" s="455"/>
      <c r="Y69" s="455"/>
      <c r="Z69" s="455"/>
      <c r="AA69" s="455"/>
      <c r="AB69" s="455"/>
      <c r="AC69" s="455"/>
      <c r="AD69" s="455"/>
      <c r="AE69" s="455"/>
      <c r="AF69" s="455"/>
      <c r="AG69" s="455"/>
      <c r="AH69" s="455"/>
      <c r="AI69" s="455"/>
      <c r="AJ69" s="456"/>
      <c r="AK69" s="112">
        <v>78.47999999999999</v>
      </c>
      <c r="AL69" s="113">
        <v>1</v>
      </c>
      <c r="AM69" s="135">
        <f t="shared" ref="AM69:AM74" si="5">IF(AL69="CO", "CO", IF(COUNTIF(AO:AO, A69)=0, 0, (8-SUMIF(AO:AO, A69, AL:AL)) / COUNTIF(AO:AO, A69)))</f>
        <v>2</v>
      </c>
      <c r="AN69" s="208" t="s">
        <v>75</v>
      </c>
      <c r="AO69" s="139">
        <f t="shared" si="3"/>
        <v>46034</v>
      </c>
      <c r="AP69" s="114" t="str">
        <f t="shared" si="4"/>
        <v xml:space="preserve">SA1.1 </v>
      </c>
      <c r="AQ69" s="115" t="s">
        <v>76</v>
      </c>
      <c r="AR69" s="116" t="s">
        <v>77</v>
      </c>
      <c r="AS69" s="164" t="s">
        <v>78</v>
      </c>
      <c r="AT69" s="205" t="s">
        <v>79</v>
      </c>
      <c r="AU69" s="167"/>
      <c r="AV69" s="83"/>
      <c r="AW69" s="116"/>
      <c r="AX69" s="120"/>
      <c r="AY69" s="116"/>
      <c r="AZ69" s="116"/>
      <c r="BA69" s="116"/>
      <c r="BB69" s="117"/>
    </row>
    <row r="70" spans="1:54" s="3" customFormat="1" ht="43.5">
      <c r="A70" s="111">
        <v>46034</v>
      </c>
      <c r="B70" s="454" t="s">
        <v>68</v>
      </c>
      <c r="C70" s="454"/>
      <c r="D70" s="455" t="s">
        <v>69</v>
      </c>
      <c r="E70" s="455"/>
      <c r="F70" s="455"/>
      <c r="G70" s="455"/>
      <c r="H70" s="455"/>
      <c r="I70" s="455"/>
      <c r="J70" s="455"/>
      <c r="K70" s="455"/>
      <c r="L70" s="455"/>
      <c r="M70" s="455"/>
      <c r="N70" s="455"/>
      <c r="O70" s="455"/>
      <c r="P70" s="455"/>
      <c r="Q70" s="455"/>
      <c r="R70" s="455"/>
      <c r="S70" s="455"/>
      <c r="T70" s="455"/>
      <c r="U70" s="455"/>
      <c r="V70" s="455"/>
      <c r="W70" s="455"/>
      <c r="X70" s="455"/>
      <c r="Y70" s="455"/>
      <c r="Z70" s="455"/>
      <c r="AA70" s="455"/>
      <c r="AB70" s="455"/>
      <c r="AC70" s="455"/>
      <c r="AD70" s="455"/>
      <c r="AE70" s="455"/>
      <c r="AF70" s="455"/>
      <c r="AG70" s="455"/>
      <c r="AH70" s="455"/>
      <c r="AI70" s="455"/>
      <c r="AJ70" s="456"/>
      <c r="AK70" s="112">
        <v>78.47999999999999</v>
      </c>
      <c r="AL70" s="113">
        <v>3</v>
      </c>
      <c r="AM70" s="135">
        <f t="shared" si="5"/>
        <v>2</v>
      </c>
      <c r="AN70" s="208" t="s">
        <v>80</v>
      </c>
      <c r="AO70" s="139">
        <f t="shared" ref="AO70" si="6">A70</f>
        <v>46034</v>
      </c>
      <c r="AP70" s="114" t="str">
        <f t="shared" ref="AP70" si="7">LEFT(D70,6)</f>
        <v xml:space="preserve">SA1.1 </v>
      </c>
      <c r="AQ70" s="115" t="s">
        <v>76</v>
      </c>
      <c r="AR70" s="116" t="s">
        <v>77</v>
      </c>
      <c r="AS70" s="164" t="s">
        <v>78</v>
      </c>
      <c r="AT70" s="205" t="s">
        <v>81</v>
      </c>
      <c r="AU70" s="167"/>
      <c r="AV70" s="209" t="s">
        <v>82</v>
      </c>
      <c r="AW70" s="116"/>
      <c r="AX70" s="120"/>
      <c r="AY70" s="116"/>
      <c r="AZ70" s="116"/>
      <c r="BA70" s="116"/>
      <c r="BB70" s="117"/>
    </row>
    <row r="71" spans="1:54" s="3" customFormat="1" ht="72.599999999999994">
      <c r="A71" s="111">
        <v>46035</v>
      </c>
      <c r="B71" s="454" t="s">
        <v>68</v>
      </c>
      <c r="C71" s="454"/>
      <c r="D71" s="455" t="s">
        <v>69</v>
      </c>
      <c r="E71" s="455"/>
      <c r="F71" s="455"/>
      <c r="G71" s="455"/>
      <c r="H71" s="455"/>
      <c r="I71" s="455"/>
      <c r="J71" s="455"/>
      <c r="K71" s="455"/>
      <c r="L71" s="455"/>
      <c r="M71" s="455"/>
      <c r="N71" s="455"/>
      <c r="O71" s="455"/>
      <c r="P71" s="455"/>
      <c r="Q71" s="455"/>
      <c r="R71" s="455"/>
      <c r="S71" s="455"/>
      <c r="T71" s="455"/>
      <c r="U71" s="455"/>
      <c r="V71" s="455"/>
      <c r="W71" s="455"/>
      <c r="X71" s="455"/>
      <c r="Y71" s="455"/>
      <c r="Z71" s="455"/>
      <c r="AA71" s="455"/>
      <c r="AB71" s="455"/>
      <c r="AC71" s="455"/>
      <c r="AD71" s="455"/>
      <c r="AE71" s="455"/>
      <c r="AF71" s="455"/>
      <c r="AG71" s="455"/>
      <c r="AH71" s="455"/>
      <c r="AI71" s="455"/>
      <c r="AJ71" s="456"/>
      <c r="AK71" s="112">
        <v>78.47999999999999</v>
      </c>
      <c r="AL71" s="113">
        <v>6</v>
      </c>
      <c r="AM71" s="135">
        <f t="shared" si="5"/>
        <v>2</v>
      </c>
      <c r="AN71" s="208" t="s">
        <v>83</v>
      </c>
      <c r="AO71" s="139">
        <f t="shared" si="3"/>
        <v>46035</v>
      </c>
      <c r="AP71" s="114" t="str">
        <f t="shared" si="4"/>
        <v xml:space="preserve">SA1.1 </v>
      </c>
      <c r="AQ71" s="115" t="s">
        <v>76</v>
      </c>
      <c r="AR71" s="116" t="s">
        <v>77</v>
      </c>
      <c r="AS71" s="163" t="s">
        <v>78</v>
      </c>
      <c r="AT71" s="159" t="s">
        <v>84</v>
      </c>
      <c r="AU71" s="167"/>
      <c r="AV71" s="118"/>
      <c r="AW71" s="116"/>
      <c r="AX71" s="120"/>
      <c r="AY71" s="116"/>
      <c r="AZ71" s="116"/>
      <c r="BA71" s="116"/>
      <c r="BB71" s="117"/>
    </row>
    <row r="72" spans="1:54" s="3" customFormat="1" ht="57.95">
      <c r="A72" s="111">
        <v>46036</v>
      </c>
      <c r="B72" s="454" t="s">
        <v>68</v>
      </c>
      <c r="C72" s="454"/>
      <c r="D72" s="455" t="s">
        <v>69</v>
      </c>
      <c r="E72" s="455"/>
      <c r="F72" s="455"/>
      <c r="G72" s="455"/>
      <c r="H72" s="455"/>
      <c r="I72" s="455"/>
      <c r="J72" s="455"/>
      <c r="K72" s="455"/>
      <c r="L72" s="455"/>
      <c r="M72" s="455"/>
      <c r="N72" s="455"/>
      <c r="O72" s="455"/>
      <c r="P72" s="455"/>
      <c r="Q72" s="455"/>
      <c r="R72" s="455"/>
      <c r="S72" s="455"/>
      <c r="T72" s="455"/>
      <c r="U72" s="455"/>
      <c r="V72" s="455"/>
      <c r="W72" s="455"/>
      <c r="X72" s="455"/>
      <c r="Y72" s="455"/>
      <c r="Z72" s="455"/>
      <c r="AA72" s="455"/>
      <c r="AB72" s="455"/>
      <c r="AC72" s="455"/>
      <c r="AD72" s="455"/>
      <c r="AE72" s="455"/>
      <c r="AF72" s="455"/>
      <c r="AG72" s="455"/>
      <c r="AH72" s="455"/>
      <c r="AI72" s="455"/>
      <c r="AJ72" s="456"/>
      <c r="AK72" s="112">
        <v>78.47999999999999</v>
      </c>
      <c r="AL72" s="113">
        <v>2</v>
      </c>
      <c r="AM72" s="135">
        <f t="shared" si="5"/>
        <v>6</v>
      </c>
      <c r="AN72" s="154" t="s">
        <v>85</v>
      </c>
      <c r="AO72" s="139">
        <f t="shared" si="3"/>
        <v>46036</v>
      </c>
      <c r="AP72" s="114" t="str">
        <f t="shared" si="4"/>
        <v xml:space="preserve">SA1.1 </v>
      </c>
      <c r="AQ72" s="115" t="s">
        <v>71</v>
      </c>
      <c r="AR72" s="116" t="s">
        <v>86</v>
      </c>
      <c r="AS72" s="163" t="s">
        <v>73</v>
      </c>
      <c r="AT72" s="205" t="s">
        <v>87</v>
      </c>
      <c r="AU72" s="167"/>
      <c r="AV72" s="118"/>
      <c r="AW72" s="116"/>
      <c r="AX72" s="120"/>
      <c r="AY72" s="116"/>
      <c r="AZ72" s="116"/>
      <c r="BA72" s="116"/>
      <c r="BB72" s="119"/>
    </row>
    <row r="73" spans="1:54" s="3" customFormat="1" ht="14.45">
      <c r="A73" s="111">
        <v>46037</v>
      </c>
      <c r="B73" s="454" t="s">
        <v>68</v>
      </c>
      <c r="C73" s="454"/>
      <c r="D73" s="455" t="s">
        <v>69</v>
      </c>
      <c r="E73" s="455"/>
      <c r="F73" s="455"/>
      <c r="G73" s="455"/>
      <c r="H73" s="455"/>
      <c r="I73" s="455"/>
      <c r="J73" s="455"/>
      <c r="K73" s="455"/>
      <c r="L73" s="455"/>
      <c r="M73" s="455"/>
      <c r="N73" s="455"/>
      <c r="O73" s="455"/>
      <c r="P73" s="455"/>
      <c r="Q73" s="455"/>
      <c r="R73" s="455"/>
      <c r="S73" s="455"/>
      <c r="T73" s="455"/>
      <c r="U73" s="455"/>
      <c r="V73" s="455"/>
      <c r="W73" s="455"/>
      <c r="X73" s="455"/>
      <c r="Y73" s="455"/>
      <c r="Z73" s="455"/>
      <c r="AA73" s="455"/>
      <c r="AB73" s="455"/>
      <c r="AC73" s="455"/>
      <c r="AD73" s="455"/>
      <c r="AE73" s="455"/>
      <c r="AF73" s="455"/>
      <c r="AG73" s="455"/>
      <c r="AH73" s="455"/>
      <c r="AI73" s="455"/>
      <c r="AJ73" s="456"/>
      <c r="AK73" s="112">
        <v>78.47999999999999</v>
      </c>
      <c r="AL73" s="113"/>
      <c r="AM73" s="135">
        <f t="shared" si="5"/>
        <v>8</v>
      </c>
      <c r="AN73" s="148"/>
      <c r="AO73" s="139">
        <f t="shared" si="3"/>
        <v>46037</v>
      </c>
      <c r="AP73" s="114" t="str">
        <f t="shared" si="4"/>
        <v xml:space="preserve">SA1.1 </v>
      </c>
      <c r="AQ73" s="115"/>
      <c r="AR73" s="116"/>
      <c r="AS73" s="163"/>
      <c r="AT73" s="205"/>
      <c r="AU73" s="167"/>
      <c r="AV73" s="118"/>
      <c r="AW73" s="116"/>
      <c r="AX73" s="120"/>
      <c r="AY73" s="116"/>
      <c r="AZ73" s="116"/>
      <c r="BA73" s="116"/>
      <c r="BB73" s="119"/>
    </row>
    <row r="74" spans="1:54" s="3" customFormat="1" ht="72.599999999999994">
      <c r="A74" s="111">
        <v>46038</v>
      </c>
      <c r="B74" s="454" t="s">
        <v>68</v>
      </c>
      <c r="C74" s="454"/>
      <c r="D74" s="455" t="s">
        <v>69</v>
      </c>
      <c r="E74" s="455"/>
      <c r="F74" s="455"/>
      <c r="G74" s="455"/>
      <c r="H74" s="455"/>
      <c r="I74" s="455"/>
      <c r="J74" s="455"/>
      <c r="K74" s="455"/>
      <c r="L74" s="455"/>
      <c r="M74" s="455"/>
      <c r="N74" s="455"/>
      <c r="O74" s="455"/>
      <c r="P74" s="455"/>
      <c r="Q74" s="455"/>
      <c r="R74" s="455"/>
      <c r="S74" s="455"/>
      <c r="T74" s="455"/>
      <c r="U74" s="455"/>
      <c r="V74" s="455"/>
      <c r="W74" s="455"/>
      <c r="X74" s="455"/>
      <c r="Y74" s="455"/>
      <c r="Z74" s="455"/>
      <c r="AA74" s="455"/>
      <c r="AB74" s="455"/>
      <c r="AC74" s="455"/>
      <c r="AD74" s="455"/>
      <c r="AE74" s="455"/>
      <c r="AF74" s="455"/>
      <c r="AG74" s="455"/>
      <c r="AH74" s="455"/>
      <c r="AI74" s="455"/>
      <c r="AJ74" s="456"/>
      <c r="AK74" s="112">
        <v>78.47999999999999</v>
      </c>
      <c r="AL74" s="113">
        <v>5</v>
      </c>
      <c r="AM74" s="135">
        <f t="shared" si="5"/>
        <v>3</v>
      </c>
      <c r="AN74" s="210" t="s">
        <v>88</v>
      </c>
      <c r="AO74" s="139">
        <f t="shared" si="3"/>
        <v>46038</v>
      </c>
      <c r="AP74" s="114" t="str">
        <f>LEFT(D74,6)</f>
        <v xml:space="preserve">SA1.1 </v>
      </c>
      <c r="AQ74" s="115" t="s">
        <v>76</v>
      </c>
      <c r="AR74" s="116" t="s">
        <v>77</v>
      </c>
      <c r="AS74" s="163" t="s">
        <v>78</v>
      </c>
      <c r="AT74" s="159" t="s">
        <v>89</v>
      </c>
      <c r="AU74" s="167"/>
      <c r="AV74" s="83"/>
      <c r="AW74" s="116"/>
      <c r="AX74" s="116"/>
      <c r="AY74" s="116"/>
      <c r="AZ74" s="116"/>
      <c r="BA74" s="116"/>
      <c r="BB74" s="121"/>
    </row>
    <row r="75" spans="1:54" s="3" customFormat="1" ht="14.1" customHeight="1">
      <c r="A75" s="70">
        <v>46039</v>
      </c>
      <c r="B75" s="460"/>
      <c r="C75" s="461"/>
      <c r="D75" s="440"/>
      <c r="E75" s="440"/>
      <c r="F75" s="440"/>
      <c r="G75" s="440"/>
      <c r="H75" s="440"/>
      <c r="I75" s="440"/>
      <c r="J75" s="440"/>
      <c r="K75" s="440"/>
      <c r="L75" s="440"/>
      <c r="M75" s="440"/>
      <c r="N75" s="440"/>
      <c r="O75" s="440"/>
      <c r="P75" s="440"/>
      <c r="Q75" s="440"/>
      <c r="R75" s="440"/>
      <c r="S75" s="440"/>
      <c r="T75" s="440"/>
      <c r="U75" s="440"/>
      <c r="V75" s="440"/>
      <c r="W75" s="440"/>
      <c r="X75" s="440"/>
      <c r="Y75" s="440"/>
      <c r="Z75" s="440"/>
      <c r="AA75" s="440"/>
      <c r="AB75" s="440"/>
      <c r="AC75" s="440"/>
      <c r="AD75" s="440"/>
      <c r="AE75" s="440"/>
      <c r="AF75" s="440"/>
      <c r="AG75" s="440"/>
      <c r="AH75" s="440"/>
      <c r="AI75" s="440"/>
      <c r="AJ75" s="441"/>
      <c r="AK75" s="102"/>
      <c r="AL75" s="105"/>
      <c r="AM75" s="134"/>
      <c r="AN75" s="149"/>
      <c r="AO75" s="138">
        <f t="shared" si="3"/>
        <v>46039</v>
      </c>
      <c r="AP75" s="78" t="str">
        <f t="shared" si="4"/>
        <v/>
      </c>
      <c r="AQ75" s="79"/>
      <c r="AR75" s="80"/>
      <c r="AS75" s="162"/>
      <c r="AT75" s="206"/>
      <c r="AU75" s="166"/>
      <c r="AV75" s="80"/>
      <c r="AW75" s="80"/>
      <c r="AX75" s="82"/>
      <c r="AY75" s="80"/>
      <c r="AZ75" s="80"/>
      <c r="BA75" s="80"/>
      <c r="BB75" s="91"/>
    </row>
    <row r="76" spans="1:54" s="3" customFormat="1" ht="14.1" customHeight="1">
      <c r="A76" s="70">
        <v>46040</v>
      </c>
      <c r="B76" s="460"/>
      <c r="C76" s="461"/>
      <c r="D76" s="440"/>
      <c r="E76" s="440"/>
      <c r="F76" s="440"/>
      <c r="G76" s="440"/>
      <c r="H76" s="440"/>
      <c r="I76" s="440"/>
      <c r="J76" s="440"/>
      <c r="K76" s="440"/>
      <c r="L76" s="440"/>
      <c r="M76" s="440"/>
      <c r="N76" s="440"/>
      <c r="O76" s="440"/>
      <c r="P76" s="440"/>
      <c r="Q76" s="440"/>
      <c r="R76" s="440"/>
      <c r="S76" s="440"/>
      <c r="T76" s="440"/>
      <c r="U76" s="440"/>
      <c r="V76" s="440"/>
      <c r="W76" s="440"/>
      <c r="X76" s="440"/>
      <c r="Y76" s="440"/>
      <c r="Z76" s="440"/>
      <c r="AA76" s="440"/>
      <c r="AB76" s="440"/>
      <c r="AC76" s="440"/>
      <c r="AD76" s="440"/>
      <c r="AE76" s="440"/>
      <c r="AF76" s="440"/>
      <c r="AG76" s="440"/>
      <c r="AH76" s="440"/>
      <c r="AI76" s="440"/>
      <c r="AJ76" s="441"/>
      <c r="AK76" s="102"/>
      <c r="AL76" s="105"/>
      <c r="AM76" s="134"/>
      <c r="AN76" s="144"/>
      <c r="AO76" s="138">
        <f t="shared" si="3"/>
        <v>46040</v>
      </c>
      <c r="AP76" s="78" t="str">
        <f t="shared" si="4"/>
        <v/>
      </c>
      <c r="AQ76" s="79"/>
      <c r="AR76" s="80"/>
      <c r="AS76" s="162"/>
      <c r="AT76" s="156"/>
      <c r="AU76" s="166"/>
      <c r="AV76" s="81"/>
      <c r="AW76" s="80"/>
      <c r="AX76" s="80"/>
      <c r="AY76" s="80"/>
      <c r="AZ76" s="80"/>
      <c r="BA76" s="80"/>
      <c r="BB76" s="91"/>
    </row>
    <row r="77" spans="1:54" s="3" customFormat="1" ht="101.45">
      <c r="A77" s="111">
        <v>46041</v>
      </c>
      <c r="B77" s="454" t="s">
        <v>68</v>
      </c>
      <c r="C77" s="454"/>
      <c r="D77" s="455" t="s">
        <v>69</v>
      </c>
      <c r="E77" s="455"/>
      <c r="F77" s="455"/>
      <c r="G77" s="455"/>
      <c r="H77" s="455"/>
      <c r="I77" s="455"/>
      <c r="J77" s="455"/>
      <c r="K77" s="455"/>
      <c r="L77" s="455"/>
      <c r="M77" s="455"/>
      <c r="N77" s="455"/>
      <c r="O77" s="455"/>
      <c r="P77" s="455"/>
      <c r="Q77" s="455"/>
      <c r="R77" s="455"/>
      <c r="S77" s="455"/>
      <c r="T77" s="455"/>
      <c r="U77" s="455"/>
      <c r="V77" s="455"/>
      <c r="W77" s="455"/>
      <c r="X77" s="455"/>
      <c r="Y77" s="455"/>
      <c r="Z77" s="455"/>
      <c r="AA77" s="455"/>
      <c r="AB77" s="455"/>
      <c r="AC77" s="455"/>
      <c r="AD77" s="455"/>
      <c r="AE77" s="455"/>
      <c r="AF77" s="455"/>
      <c r="AG77" s="455"/>
      <c r="AH77" s="455"/>
      <c r="AI77" s="455"/>
      <c r="AJ77" s="456"/>
      <c r="AK77" s="112">
        <v>78.47999999999999</v>
      </c>
      <c r="AL77" s="113">
        <v>6</v>
      </c>
      <c r="AM77" s="135">
        <f t="shared" ref="AM77:AM82" si="8">IF(AL77="CO", "CO", IF(COUNTIF(AO:AO, A77)=0, 0, (8-SUMIF(AO:AO, A77, AL:AL)) / COUNTIF(AO:AO, A77)))</f>
        <v>2</v>
      </c>
      <c r="AN77" s="210" t="s">
        <v>90</v>
      </c>
      <c r="AO77" s="139">
        <f t="shared" si="3"/>
        <v>46041</v>
      </c>
      <c r="AP77" s="114" t="str">
        <f>LEFT(D77,6)</f>
        <v xml:space="preserve">SA1.1 </v>
      </c>
      <c r="AQ77" s="115" t="s">
        <v>76</v>
      </c>
      <c r="AR77" s="116" t="s">
        <v>77</v>
      </c>
      <c r="AS77" s="163" t="s">
        <v>78</v>
      </c>
      <c r="AT77" s="205" t="s">
        <v>91</v>
      </c>
      <c r="AU77" s="167"/>
      <c r="AV77" s="83"/>
      <c r="AW77" s="116"/>
      <c r="AX77" s="116"/>
      <c r="AY77" s="116"/>
      <c r="AZ77" s="116"/>
      <c r="BA77" s="116"/>
      <c r="BB77" s="121"/>
    </row>
    <row r="78" spans="1:54" s="3" customFormat="1" ht="72.599999999999994">
      <c r="A78" s="111">
        <v>46042</v>
      </c>
      <c r="B78" s="454" t="s">
        <v>68</v>
      </c>
      <c r="C78" s="454"/>
      <c r="D78" s="455" t="s">
        <v>69</v>
      </c>
      <c r="E78" s="455"/>
      <c r="F78" s="455"/>
      <c r="G78" s="455"/>
      <c r="H78" s="455"/>
      <c r="I78" s="455"/>
      <c r="J78" s="455"/>
      <c r="K78" s="455"/>
      <c r="L78" s="455"/>
      <c r="M78" s="455"/>
      <c r="N78" s="455"/>
      <c r="O78" s="455"/>
      <c r="P78" s="455"/>
      <c r="Q78" s="455"/>
      <c r="R78" s="455"/>
      <c r="S78" s="455"/>
      <c r="T78" s="455"/>
      <c r="U78" s="455"/>
      <c r="V78" s="455"/>
      <c r="W78" s="455"/>
      <c r="X78" s="455"/>
      <c r="Y78" s="455"/>
      <c r="Z78" s="455"/>
      <c r="AA78" s="455"/>
      <c r="AB78" s="455"/>
      <c r="AC78" s="455"/>
      <c r="AD78" s="455"/>
      <c r="AE78" s="455"/>
      <c r="AF78" s="455"/>
      <c r="AG78" s="455"/>
      <c r="AH78" s="455"/>
      <c r="AI78" s="455"/>
      <c r="AJ78" s="456"/>
      <c r="AK78" s="112">
        <v>78.47999999999999</v>
      </c>
      <c r="AL78" s="113">
        <v>2</v>
      </c>
      <c r="AM78" s="135">
        <f t="shared" si="8"/>
        <v>6</v>
      </c>
      <c r="AN78" s="211" t="s">
        <v>92</v>
      </c>
      <c r="AO78" s="139">
        <f>A78</f>
        <v>46042</v>
      </c>
      <c r="AP78" s="114" t="str">
        <f>LEFT(D78,6)</f>
        <v xml:space="preserve">SA1.1 </v>
      </c>
      <c r="AQ78" s="115" t="s">
        <v>76</v>
      </c>
      <c r="AR78" s="116" t="s">
        <v>77</v>
      </c>
      <c r="AS78" s="163" t="s">
        <v>78</v>
      </c>
      <c r="AT78" s="205" t="s">
        <v>93</v>
      </c>
      <c r="AU78" s="167"/>
      <c r="AV78" s="83"/>
      <c r="AW78" s="116"/>
      <c r="AX78" s="116"/>
      <c r="AY78" s="116"/>
      <c r="AZ78" s="116"/>
      <c r="BA78" s="116"/>
      <c r="BB78" s="117"/>
    </row>
    <row r="79" spans="1:54" s="3" customFormat="1" ht="27" customHeight="1">
      <c r="A79" s="111">
        <v>46043</v>
      </c>
      <c r="B79" s="454" t="s">
        <v>68</v>
      </c>
      <c r="C79" s="454"/>
      <c r="D79" s="455" t="s">
        <v>69</v>
      </c>
      <c r="E79" s="455"/>
      <c r="F79" s="455"/>
      <c r="G79" s="455"/>
      <c r="H79" s="455"/>
      <c r="I79" s="455"/>
      <c r="J79" s="455"/>
      <c r="K79" s="455"/>
      <c r="L79" s="455"/>
      <c r="M79" s="455"/>
      <c r="N79" s="455"/>
      <c r="O79" s="455"/>
      <c r="P79" s="455"/>
      <c r="Q79" s="455"/>
      <c r="R79" s="455"/>
      <c r="S79" s="455"/>
      <c r="T79" s="455"/>
      <c r="U79" s="455"/>
      <c r="V79" s="455"/>
      <c r="W79" s="455"/>
      <c r="X79" s="455"/>
      <c r="Y79" s="455"/>
      <c r="Z79" s="455"/>
      <c r="AA79" s="455"/>
      <c r="AB79" s="455"/>
      <c r="AC79" s="455"/>
      <c r="AD79" s="455"/>
      <c r="AE79" s="455"/>
      <c r="AF79" s="455"/>
      <c r="AG79" s="455"/>
      <c r="AH79" s="455"/>
      <c r="AI79" s="455"/>
      <c r="AJ79" s="456"/>
      <c r="AK79" s="112">
        <v>78.47999999999999</v>
      </c>
      <c r="AL79" s="113">
        <v>2</v>
      </c>
      <c r="AM79" s="135">
        <f t="shared" si="8"/>
        <v>2</v>
      </c>
      <c r="AN79" s="150" t="s">
        <v>94</v>
      </c>
      <c r="AO79" s="139">
        <f t="shared" si="3"/>
        <v>46043</v>
      </c>
      <c r="AP79" s="114" t="str">
        <f t="shared" si="4"/>
        <v xml:space="preserve">SA1.1 </v>
      </c>
      <c r="AQ79" s="115"/>
      <c r="AR79" s="116"/>
      <c r="AS79" s="163"/>
      <c r="AT79" s="207" t="s">
        <v>95</v>
      </c>
      <c r="AU79" s="167"/>
      <c r="AV79" s="83"/>
      <c r="AW79" s="116"/>
      <c r="AX79" s="116"/>
      <c r="AY79" s="116"/>
      <c r="AZ79" s="116"/>
      <c r="BA79" s="116"/>
      <c r="BB79" s="117"/>
    </row>
    <row r="80" spans="1:54" s="3" customFormat="1" ht="57.95">
      <c r="A80" s="111">
        <v>46043</v>
      </c>
      <c r="B80" s="454" t="s">
        <v>68</v>
      </c>
      <c r="C80" s="454"/>
      <c r="D80" s="455" t="s">
        <v>69</v>
      </c>
      <c r="E80" s="455"/>
      <c r="F80" s="455"/>
      <c r="G80" s="455"/>
      <c r="H80" s="455"/>
      <c r="I80" s="455"/>
      <c r="J80" s="455"/>
      <c r="K80" s="455"/>
      <c r="L80" s="455"/>
      <c r="M80" s="455"/>
      <c r="N80" s="455"/>
      <c r="O80" s="455"/>
      <c r="P80" s="455"/>
      <c r="Q80" s="455"/>
      <c r="R80" s="455"/>
      <c r="S80" s="455"/>
      <c r="T80" s="455"/>
      <c r="U80" s="455"/>
      <c r="V80" s="455"/>
      <c r="W80" s="455"/>
      <c r="X80" s="455"/>
      <c r="Y80" s="455"/>
      <c r="Z80" s="455"/>
      <c r="AA80" s="455"/>
      <c r="AB80" s="455"/>
      <c r="AC80" s="455"/>
      <c r="AD80" s="455"/>
      <c r="AE80" s="455"/>
      <c r="AF80" s="455"/>
      <c r="AG80" s="455"/>
      <c r="AH80" s="455"/>
      <c r="AI80" s="455"/>
      <c r="AJ80" s="456"/>
      <c r="AK80" s="112">
        <v>78.47999999999999</v>
      </c>
      <c r="AL80" s="113">
        <v>2</v>
      </c>
      <c r="AM80" s="135">
        <f t="shared" si="8"/>
        <v>2</v>
      </c>
      <c r="AN80" s="154" t="s">
        <v>96</v>
      </c>
      <c r="AO80" s="139">
        <f t="shared" ref="AO80" si="9">A80</f>
        <v>46043</v>
      </c>
      <c r="AP80" s="114" t="str">
        <f t="shared" ref="AP80" si="10">LEFT(D80,6)</f>
        <v xml:space="preserve">SA1.1 </v>
      </c>
      <c r="AQ80" s="115" t="s">
        <v>71</v>
      </c>
      <c r="AR80" s="116" t="s">
        <v>97</v>
      </c>
      <c r="AS80" s="163" t="s">
        <v>73</v>
      </c>
      <c r="AT80" s="159" t="s">
        <v>98</v>
      </c>
      <c r="AU80" s="167"/>
      <c r="AV80" s="83"/>
      <c r="AW80" s="116"/>
      <c r="AX80" s="116"/>
      <c r="AY80" s="116"/>
      <c r="AZ80" s="116"/>
      <c r="BA80" s="116"/>
      <c r="BB80" s="117"/>
    </row>
    <row r="81" spans="1:54" s="3" customFormat="1" ht="27" customHeight="1">
      <c r="A81" s="111">
        <v>46044</v>
      </c>
      <c r="B81" s="454" t="s">
        <v>68</v>
      </c>
      <c r="C81" s="454"/>
      <c r="D81" s="455" t="s">
        <v>69</v>
      </c>
      <c r="E81" s="455"/>
      <c r="F81" s="455"/>
      <c r="G81" s="455"/>
      <c r="H81" s="455"/>
      <c r="I81" s="455"/>
      <c r="J81" s="455"/>
      <c r="K81" s="455"/>
      <c r="L81" s="455"/>
      <c r="M81" s="455"/>
      <c r="N81" s="455"/>
      <c r="O81" s="455"/>
      <c r="P81" s="455"/>
      <c r="Q81" s="455"/>
      <c r="R81" s="455"/>
      <c r="S81" s="455"/>
      <c r="T81" s="455"/>
      <c r="U81" s="455"/>
      <c r="V81" s="455"/>
      <c r="W81" s="455"/>
      <c r="X81" s="455"/>
      <c r="Y81" s="455"/>
      <c r="Z81" s="455"/>
      <c r="AA81" s="455"/>
      <c r="AB81" s="455"/>
      <c r="AC81" s="455"/>
      <c r="AD81" s="455"/>
      <c r="AE81" s="455"/>
      <c r="AF81" s="455"/>
      <c r="AG81" s="455"/>
      <c r="AH81" s="455"/>
      <c r="AI81" s="455"/>
      <c r="AJ81" s="456"/>
      <c r="AK81" s="112">
        <v>78.47999999999999</v>
      </c>
      <c r="AL81" s="113"/>
      <c r="AM81" s="135">
        <f t="shared" si="8"/>
        <v>8</v>
      </c>
      <c r="AN81" s="179"/>
      <c r="AO81" s="139">
        <f t="shared" si="3"/>
        <v>46044</v>
      </c>
      <c r="AP81" s="114" t="str">
        <f t="shared" si="4"/>
        <v xml:space="preserve">SA1.1 </v>
      </c>
      <c r="AQ81" s="115"/>
      <c r="AR81" s="116"/>
      <c r="AS81" s="163"/>
      <c r="AT81" s="157" t="s">
        <v>99</v>
      </c>
      <c r="AU81" s="167"/>
      <c r="AV81" s="118"/>
      <c r="AW81" s="116"/>
      <c r="AX81" s="116"/>
      <c r="AY81" s="116"/>
      <c r="AZ81" s="116"/>
      <c r="BA81" s="116"/>
      <c r="BB81" s="117"/>
    </row>
    <row r="82" spans="1:54" s="3" customFormat="1" ht="57.95">
      <c r="A82" s="111">
        <v>46045</v>
      </c>
      <c r="B82" s="454" t="s">
        <v>68</v>
      </c>
      <c r="C82" s="454"/>
      <c r="D82" s="455" t="s">
        <v>69</v>
      </c>
      <c r="E82" s="455"/>
      <c r="F82" s="455"/>
      <c r="G82" s="455"/>
      <c r="H82" s="455"/>
      <c r="I82" s="455"/>
      <c r="J82" s="455"/>
      <c r="K82" s="455"/>
      <c r="L82" s="455"/>
      <c r="M82" s="455"/>
      <c r="N82" s="455"/>
      <c r="O82" s="455"/>
      <c r="P82" s="455"/>
      <c r="Q82" s="455"/>
      <c r="R82" s="455"/>
      <c r="S82" s="455"/>
      <c r="T82" s="455"/>
      <c r="U82" s="455"/>
      <c r="V82" s="455"/>
      <c r="W82" s="455"/>
      <c r="X82" s="455"/>
      <c r="Y82" s="455"/>
      <c r="Z82" s="455"/>
      <c r="AA82" s="455"/>
      <c r="AB82" s="455"/>
      <c r="AC82" s="455"/>
      <c r="AD82" s="455"/>
      <c r="AE82" s="455"/>
      <c r="AF82" s="455"/>
      <c r="AG82" s="455"/>
      <c r="AH82" s="455"/>
      <c r="AI82" s="455"/>
      <c r="AJ82" s="456"/>
      <c r="AK82" s="112">
        <v>78.47999999999999</v>
      </c>
      <c r="AL82" s="113">
        <v>4</v>
      </c>
      <c r="AM82" s="135">
        <f t="shared" si="8"/>
        <v>4</v>
      </c>
      <c r="AN82" s="211" t="s">
        <v>100</v>
      </c>
      <c r="AO82" s="139">
        <f t="shared" si="3"/>
        <v>46045</v>
      </c>
      <c r="AP82" s="114" t="str">
        <f t="shared" si="4"/>
        <v xml:space="preserve">SA1.1 </v>
      </c>
      <c r="AQ82" s="115" t="s">
        <v>71</v>
      </c>
      <c r="AR82" s="116" t="s">
        <v>101</v>
      </c>
      <c r="AS82" s="163" t="s">
        <v>73</v>
      </c>
      <c r="AT82" s="205" t="s">
        <v>102</v>
      </c>
      <c r="AU82" s="167"/>
      <c r="AV82" s="83"/>
      <c r="AW82" s="116"/>
      <c r="AX82" s="116"/>
      <c r="AY82" s="116"/>
      <c r="AZ82" s="116"/>
      <c r="BA82" s="116"/>
      <c r="BB82" s="117"/>
    </row>
    <row r="83" spans="1:54" s="3" customFormat="1" ht="14.1" customHeight="1">
      <c r="A83" s="70">
        <v>46046</v>
      </c>
      <c r="B83" s="460"/>
      <c r="C83" s="461"/>
      <c r="D83" s="440"/>
      <c r="E83" s="440"/>
      <c r="F83" s="440"/>
      <c r="G83" s="440"/>
      <c r="H83" s="440"/>
      <c r="I83" s="440"/>
      <c r="J83" s="440"/>
      <c r="K83" s="440"/>
      <c r="L83" s="440"/>
      <c r="M83" s="440"/>
      <c r="N83" s="440"/>
      <c r="O83" s="440"/>
      <c r="P83" s="440"/>
      <c r="Q83" s="440"/>
      <c r="R83" s="440"/>
      <c r="S83" s="440"/>
      <c r="T83" s="440"/>
      <c r="U83" s="440"/>
      <c r="V83" s="440"/>
      <c r="W83" s="440"/>
      <c r="X83" s="440"/>
      <c r="Y83" s="440"/>
      <c r="Z83" s="440"/>
      <c r="AA83" s="440"/>
      <c r="AB83" s="440"/>
      <c r="AC83" s="440"/>
      <c r="AD83" s="440"/>
      <c r="AE83" s="440"/>
      <c r="AF83" s="440"/>
      <c r="AG83" s="440"/>
      <c r="AH83" s="440"/>
      <c r="AI83" s="440"/>
      <c r="AJ83" s="441"/>
      <c r="AK83" s="102"/>
      <c r="AL83" s="105"/>
      <c r="AM83" s="134"/>
      <c r="AN83" s="151"/>
      <c r="AO83" s="138">
        <f t="shared" si="3"/>
        <v>46046</v>
      </c>
      <c r="AP83" s="78" t="str">
        <f t="shared" si="4"/>
        <v/>
      </c>
      <c r="AQ83" s="79"/>
      <c r="AR83" s="80"/>
      <c r="AS83" s="162"/>
      <c r="AT83" s="160"/>
      <c r="AU83" s="166"/>
      <c r="AV83" s="81"/>
      <c r="AW83" s="80"/>
      <c r="AX83" s="80"/>
      <c r="AY83" s="80"/>
      <c r="AZ83" s="80"/>
      <c r="BA83" s="80"/>
      <c r="BB83" s="91"/>
    </row>
    <row r="84" spans="1:54" s="3" customFormat="1" ht="14.1" customHeight="1">
      <c r="A84" s="70">
        <v>46047</v>
      </c>
      <c r="B84" s="460"/>
      <c r="C84" s="461"/>
      <c r="D84" s="440"/>
      <c r="E84" s="440"/>
      <c r="F84" s="440"/>
      <c r="G84" s="440"/>
      <c r="H84" s="440"/>
      <c r="I84" s="440"/>
      <c r="J84" s="440"/>
      <c r="K84" s="440"/>
      <c r="L84" s="440"/>
      <c r="M84" s="440"/>
      <c r="N84" s="440"/>
      <c r="O84" s="440"/>
      <c r="P84" s="440"/>
      <c r="Q84" s="440"/>
      <c r="R84" s="440"/>
      <c r="S84" s="440"/>
      <c r="T84" s="440"/>
      <c r="U84" s="440"/>
      <c r="V84" s="440"/>
      <c r="W84" s="440"/>
      <c r="X84" s="440"/>
      <c r="Y84" s="440"/>
      <c r="Z84" s="440"/>
      <c r="AA84" s="440"/>
      <c r="AB84" s="440"/>
      <c r="AC84" s="440"/>
      <c r="AD84" s="440"/>
      <c r="AE84" s="440"/>
      <c r="AF84" s="440"/>
      <c r="AG84" s="440"/>
      <c r="AH84" s="440"/>
      <c r="AI84" s="440"/>
      <c r="AJ84" s="441"/>
      <c r="AK84" s="102"/>
      <c r="AL84" s="105"/>
      <c r="AM84" s="134"/>
      <c r="AN84" s="151"/>
      <c r="AO84" s="138">
        <f t="shared" si="3"/>
        <v>46047</v>
      </c>
      <c r="AP84" s="78"/>
      <c r="AQ84" s="79"/>
      <c r="AR84" s="80"/>
      <c r="AS84" s="162"/>
      <c r="AT84" s="160"/>
      <c r="AU84" s="166"/>
      <c r="AV84" s="81"/>
      <c r="AW84" s="80"/>
      <c r="AX84" s="80"/>
      <c r="AY84" s="80"/>
      <c r="AZ84" s="80"/>
      <c r="BA84" s="80"/>
      <c r="BB84" s="91"/>
    </row>
    <row r="85" spans="1:54" s="3" customFormat="1" ht="57.95">
      <c r="A85" s="111">
        <v>46048</v>
      </c>
      <c r="B85" s="454" t="s">
        <v>68</v>
      </c>
      <c r="C85" s="454"/>
      <c r="D85" s="455" t="s">
        <v>69</v>
      </c>
      <c r="E85" s="455"/>
      <c r="F85" s="455"/>
      <c r="G85" s="455"/>
      <c r="H85" s="455"/>
      <c r="I85" s="455"/>
      <c r="J85" s="455"/>
      <c r="K85" s="455"/>
      <c r="L85" s="455"/>
      <c r="M85" s="455"/>
      <c r="N85" s="455"/>
      <c r="O85" s="455"/>
      <c r="P85" s="455"/>
      <c r="Q85" s="455"/>
      <c r="R85" s="455"/>
      <c r="S85" s="455"/>
      <c r="T85" s="455"/>
      <c r="U85" s="455"/>
      <c r="V85" s="455"/>
      <c r="W85" s="455"/>
      <c r="X85" s="455"/>
      <c r="Y85" s="455"/>
      <c r="Z85" s="455"/>
      <c r="AA85" s="455"/>
      <c r="AB85" s="455"/>
      <c r="AC85" s="455"/>
      <c r="AD85" s="455"/>
      <c r="AE85" s="455"/>
      <c r="AF85" s="455"/>
      <c r="AG85" s="455"/>
      <c r="AH85" s="455"/>
      <c r="AI85" s="455"/>
      <c r="AJ85" s="456"/>
      <c r="AK85" s="112">
        <v>78.47999999999999</v>
      </c>
      <c r="AL85" s="113">
        <v>3</v>
      </c>
      <c r="AM85" s="135">
        <f t="shared" ref="AM85:AM91" si="11">IF(AL85="CO", "CO", IF(COUNTIF(AO:AO, A85)=0, 0, (8-SUMIF(AO:AO, A85, AL:AL)) / COUNTIF(AO:AO, A85)))</f>
        <v>5</v>
      </c>
      <c r="AN85" s="197" t="s">
        <v>103</v>
      </c>
      <c r="AO85" s="139">
        <f t="shared" si="3"/>
        <v>46048</v>
      </c>
      <c r="AP85" s="114" t="str">
        <f t="shared" si="4"/>
        <v xml:space="preserve">SA1.1 </v>
      </c>
      <c r="AQ85" s="115" t="s">
        <v>71</v>
      </c>
      <c r="AR85" s="116" t="s">
        <v>104</v>
      </c>
      <c r="AS85" s="163" t="s">
        <v>73</v>
      </c>
      <c r="AT85" s="205" t="s">
        <v>105</v>
      </c>
      <c r="AU85" s="167"/>
      <c r="AV85" s="83"/>
      <c r="AW85" s="116"/>
      <c r="AX85" s="116"/>
      <c r="AY85" s="116"/>
      <c r="AZ85" s="116"/>
      <c r="BA85" s="116"/>
      <c r="BB85" s="117"/>
    </row>
    <row r="86" spans="1:54" s="3" customFormat="1" ht="14.45">
      <c r="A86" s="111">
        <v>46049</v>
      </c>
      <c r="B86" s="454" t="s">
        <v>68</v>
      </c>
      <c r="C86" s="454"/>
      <c r="D86" s="455" t="s">
        <v>69</v>
      </c>
      <c r="E86" s="455"/>
      <c r="F86" s="455"/>
      <c r="G86" s="455"/>
      <c r="H86" s="455"/>
      <c r="I86" s="455"/>
      <c r="J86" s="455"/>
      <c r="K86" s="455"/>
      <c r="L86" s="455"/>
      <c r="M86" s="455"/>
      <c r="N86" s="455"/>
      <c r="O86" s="455"/>
      <c r="P86" s="455"/>
      <c r="Q86" s="455"/>
      <c r="R86" s="455"/>
      <c r="S86" s="455"/>
      <c r="T86" s="455"/>
      <c r="U86" s="455"/>
      <c r="V86" s="455"/>
      <c r="W86" s="455"/>
      <c r="X86" s="455"/>
      <c r="Y86" s="455"/>
      <c r="Z86" s="455"/>
      <c r="AA86" s="455"/>
      <c r="AB86" s="455"/>
      <c r="AC86" s="455"/>
      <c r="AD86" s="455"/>
      <c r="AE86" s="455"/>
      <c r="AF86" s="455"/>
      <c r="AG86" s="455"/>
      <c r="AH86" s="455"/>
      <c r="AI86" s="455"/>
      <c r="AJ86" s="456"/>
      <c r="AK86" s="112">
        <v>78.47999999999999</v>
      </c>
      <c r="AL86" s="113"/>
      <c r="AM86" s="135">
        <f t="shared" si="11"/>
        <v>8</v>
      </c>
      <c r="AN86" s="145"/>
      <c r="AO86" s="139">
        <f t="shared" si="3"/>
        <v>46049</v>
      </c>
      <c r="AP86" s="114" t="str">
        <f t="shared" si="4"/>
        <v xml:space="preserve">SA1.1 </v>
      </c>
      <c r="AQ86" s="115"/>
      <c r="AR86" s="116"/>
      <c r="AS86" s="163"/>
      <c r="AT86" s="198"/>
      <c r="AU86" s="167"/>
      <c r="AV86" s="83"/>
      <c r="AW86" s="116"/>
      <c r="AX86" s="116"/>
      <c r="AY86" s="116"/>
      <c r="AZ86" s="116"/>
      <c r="BA86" s="116"/>
      <c r="BB86" s="117"/>
    </row>
    <row r="87" spans="1:54" s="3" customFormat="1" ht="57.95">
      <c r="A87" s="111">
        <v>46050</v>
      </c>
      <c r="B87" s="454" t="s">
        <v>68</v>
      </c>
      <c r="C87" s="454"/>
      <c r="D87" s="455" t="s">
        <v>69</v>
      </c>
      <c r="E87" s="455"/>
      <c r="F87" s="455"/>
      <c r="G87" s="455"/>
      <c r="H87" s="455"/>
      <c r="I87" s="455"/>
      <c r="J87" s="455"/>
      <c r="K87" s="455"/>
      <c r="L87" s="455"/>
      <c r="M87" s="455"/>
      <c r="N87" s="455"/>
      <c r="O87" s="455"/>
      <c r="P87" s="455"/>
      <c r="Q87" s="455"/>
      <c r="R87" s="455"/>
      <c r="S87" s="455"/>
      <c r="T87" s="455"/>
      <c r="U87" s="455"/>
      <c r="V87" s="455"/>
      <c r="W87" s="455"/>
      <c r="X87" s="455"/>
      <c r="Y87" s="455"/>
      <c r="Z87" s="455"/>
      <c r="AA87" s="455"/>
      <c r="AB87" s="455"/>
      <c r="AC87" s="455"/>
      <c r="AD87" s="455"/>
      <c r="AE87" s="455"/>
      <c r="AF87" s="455"/>
      <c r="AG87" s="455"/>
      <c r="AH87" s="455"/>
      <c r="AI87" s="455"/>
      <c r="AJ87" s="456"/>
      <c r="AK87" s="112">
        <v>78.47999999999999</v>
      </c>
      <c r="AL87" s="113">
        <v>4</v>
      </c>
      <c r="AM87" s="135">
        <f t="shared" si="11"/>
        <v>4</v>
      </c>
      <c r="AN87" s="180" t="s">
        <v>106</v>
      </c>
      <c r="AO87" s="139">
        <f t="shared" si="3"/>
        <v>46050</v>
      </c>
      <c r="AP87" s="114" t="str">
        <f t="shared" si="4"/>
        <v xml:space="preserve">SA1.1 </v>
      </c>
      <c r="AQ87" s="115" t="s">
        <v>76</v>
      </c>
      <c r="AR87" s="116" t="s">
        <v>77</v>
      </c>
      <c r="AS87" s="163" t="s">
        <v>78</v>
      </c>
      <c r="AT87" s="159" t="s">
        <v>107</v>
      </c>
      <c r="AU87" s="168"/>
      <c r="AV87" s="118"/>
      <c r="AW87" s="122"/>
      <c r="AX87" s="116"/>
      <c r="AY87" s="116"/>
      <c r="AZ87" s="122"/>
      <c r="BA87" s="116"/>
      <c r="BB87" s="117"/>
    </row>
    <row r="88" spans="1:54" s="3" customFormat="1" ht="27" customHeight="1">
      <c r="A88" s="111">
        <v>46051</v>
      </c>
      <c r="B88" s="454" t="s">
        <v>68</v>
      </c>
      <c r="C88" s="454"/>
      <c r="D88" s="455" t="s">
        <v>69</v>
      </c>
      <c r="E88" s="455"/>
      <c r="F88" s="455"/>
      <c r="G88" s="455"/>
      <c r="H88" s="455"/>
      <c r="I88" s="455"/>
      <c r="J88" s="455"/>
      <c r="K88" s="455"/>
      <c r="L88" s="455"/>
      <c r="M88" s="455"/>
      <c r="N88" s="455"/>
      <c r="O88" s="455"/>
      <c r="P88" s="455"/>
      <c r="Q88" s="455"/>
      <c r="R88" s="455"/>
      <c r="S88" s="455"/>
      <c r="T88" s="455"/>
      <c r="U88" s="455"/>
      <c r="V88" s="455"/>
      <c r="W88" s="455"/>
      <c r="X88" s="455"/>
      <c r="Y88" s="455"/>
      <c r="Z88" s="455"/>
      <c r="AA88" s="455"/>
      <c r="AB88" s="455"/>
      <c r="AC88" s="455"/>
      <c r="AD88" s="455"/>
      <c r="AE88" s="455"/>
      <c r="AF88" s="455"/>
      <c r="AG88" s="455"/>
      <c r="AH88" s="455"/>
      <c r="AI88" s="455"/>
      <c r="AJ88" s="456"/>
      <c r="AK88" s="112">
        <v>78.47999999999999</v>
      </c>
      <c r="AL88" s="113">
        <v>6</v>
      </c>
      <c r="AM88" s="135">
        <f t="shared" si="11"/>
        <v>0</v>
      </c>
      <c r="AN88" s="197" t="s">
        <v>108</v>
      </c>
      <c r="AO88" s="139">
        <f t="shared" si="3"/>
        <v>46051</v>
      </c>
      <c r="AP88" s="114" t="str">
        <f t="shared" si="4"/>
        <v xml:space="preserve">SA1.1 </v>
      </c>
      <c r="AQ88" s="115" t="s">
        <v>71</v>
      </c>
      <c r="AR88" s="116"/>
      <c r="AS88" s="163" t="s">
        <v>78</v>
      </c>
      <c r="AT88" s="200" t="s">
        <v>109</v>
      </c>
      <c r="AU88" s="167" t="s">
        <v>110</v>
      </c>
      <c r="AV88" s="192" t="s">
        <v>111</v>
      </c>
      <c r="AW88" s="116"/>
      <c r="AX88" s="116"/>
      <c r="AY88" s="116"/>
      <c r="AZ88" s="116"/>
      <c r="BA88" s="116"/>
      <c r="BB88" s="117"/>
    </row>
    <row r="89" spans="1:54" s="3" customFormat="1" ht="64.5" customHeight="1">
      <c r="A89" s="111">
        <v>46051</v>
      </c>
      <c r="B89" s="454" t="s">
        <v>68</v>
      </c>
      <c r="C89" s="454"/>
      <c r="D89" s="455" t="s">
        <v>69</v>
      </c>
      <c r="E89" s="455"/>
      <c r="F89" s="455"/>
      <c r="G89" s="455"/>
      <c r="H89" s="455"/>
      <c r="I89" s="455"/>
      <c r="J89" s="455"/>
      <c r="K89" s="455"/>
      <c r="L89" s="455"/>
      <c r="M89" s="455"/>
      <c r="N89" s="455"/>
      <c r="O89" s="455"/>
      <c r="P89" s="455"/>
      <c r="Q89" s="455"/>
      <c r="R89" s="455"/>
      <c r="S89" s="455"/>
      <c r="T89" s="455"/>
      <c r="U89" s="455"/>
      <c r="V89" s="455"/>
      <c r="W89" s="455"/>
      <c r="X89" s="455"/>
      <c r="Y89" s="455"/>
      <c r="Z89" s="455"/>
      <c r="AA89" s="455"/>
      <c r="AB89" s="455"/>
      <c r="AC89" s="455"/>
      <c r="AD89" s="455"/>
      <c r="AE89" s="455"/>
      <c r="AF89" s="455"/>
      <c r="AG89" s="455"/>
      <c r="AH89" s="455"/>
      <c r="AI89" s="455"/>
      <c r="AJ89" s="456"/>
      <c r="AK89" s="112">
        <v>78.47999999999999</v>
      </c>
      <c r="AL89" s="113">
        <v>2</v>
      </c>
      <c r="AM89" s="135">
        <f t="shared" si="11"/>
        <v>0</v>
      </c>
      <c r="AN89" s="180" t="s">
        <v>112</v>
      </c>
      <c r="AO89" s="139">
        <f t="shared" ref="AO89" si="12">A89</f>
        <v>46051</v>
      </c>
      <c r="AP89" s="114" t="str">
        <f t="shared" ref="AP89" si="13">LEFT(D89,6)</f>
        <v xml:space="preserve">SA1.1 </v>
      </c>
      <c r="AQ89" s="115" t="s">
        <v>76</v>
      </c>
      <c r="AR89" s="116" t="s">
        <v>77</v>
      </c>
      <c r="AS89" s="163" t="s">
        <v>78</v>
      </c>
      <c r="AT89" s="159" t="s">
        <v>113</v>
      </c>
      <c r="AU89" s="167"/>
      <c r="AV89" s="118"/>
      <c r="AW89" s="116"/>
      <c r="AX89" s="116"/>
      <c r="AY89" s="116"/>
      <c r="AZ89" s="116"/>
      <c r="BA89" s="116"/>
      <c r="BB89" s="117"/>
    </row>
    <row r="90" spans="1:54" s="3" customFormat="1" ht="43.5">
      <c r="A90" s="111">
        <v>46052</v>
      </c>
      <c r="B90" s="454" t="s">
        <v>68</v>
      </c>
      <c r="C90" s="454"/>
      <c r="D90" s="455" t="s">
        <v>69</v>
      </c>
      <c r="E90" s="455"/>
      <c r="F90" s="455"/>
      <c r="G90" s="455"/>
      <c r="H90" s="455"/>
      <c r="I90" s="455"/>
      <c r="J90" s="455"/>
      <c r="K90" s="455"/>
      <c r="L90" s="455"/>
      <c r="M90" s="455"/>
      <c r="N90" s="455"/>
      <c r="O90" s="455"/>
      <c r="P90" s="455"/>
      <c r="Q90" s="455"/>
      <c r="R90" s="455"/>
      <c r="S90" s="455"/>
      <c r="T90" s="455"/>
      <c r="U90" s="455"/>
      <c r="V90" s="455"/>
      <c r="W90" s="455"/>
      <c r="X90" s="455"/>
      <c r="Y90" s="455"/>
      <c r="Z90" s="455"/>
      <c r="AA90" s="455"/>
      <c r="AB90" s="455"/>
      <c r="AC90" s="455"/>
      <c r="AD90" s="455"/>
      <c r="AE90" s="455"/>
      <c r="AF90" s="455"/>
      <c r="AG90" s="455"/>
      <c r="AH90" s="455"/>
      <c r="AI90" s="455"/>
      <c r="AJ90" s="456"/>
      <c r="AK90" s="112">
        <v>78.47999999999999</v>
      </c>
      <c r="AL90" s="113">
        <v>6</v>
      </c>
      <c r="AM90" s="135">
        <f t="shared" si="11"/>
        <v>0</v>
      </c>
      <c r="AN90" s="197" t="s">
        <v>114</v>
      </c>
      <c r="AO90" s="139">
        <f t="shared" ref="AO90" si="14">A90</f>
        <v>46052</v>
      </c>
      <c r="AP90" s="114" t="str">
        <f t="shared" ref="AP90" si="15">LEFT(D90,6)</f>
        <v xml:space="preserve">SA1.1 </v>
      </c>
      <c r="AQ90" s="115" t="s">
        <v>115</v>
      </c>
      <c r="AR90" s="116"/>
      <c r="AS90" s="163" t="s">
        <v>78</v>
      </c>
      <c r="AT90" s="159" t="s">
        <v>116</v>
      </c>
      <c r="AU90" s="167"/>
      <c r="AV90" s="118"/>
      <c r="AW90" s="116"/>
      <c r="AX90" s="116"/>
      <c r="AY90" s="116"/>
      <c r="AZ90" s="116"/>
      <c r="BA90" s="116"/>
      <c r="BB90" s="117"/>
    </row>
    <row r="91" spans="1:54" s="3" customFormat="1" ht="27" customHeight="1">
      <c r="A91" s="111">
        <v>46052</v>
      </c>
      <c r="B91" s="454" t="s">
        <v>68</v>
      </c>
      <c r="C91" s="454"/>
      <c r="D91" s="455" t="s">
        <v>69</v>
      </c>
      <c r="E91" s="455"/>
      <c r="F91" s="455"/>
      <c r="G91" s="455"/>
      <c r="H91" s="455"/>
      <c r="I91" s="455"/>
      <c r="J91" s="455"/>
      <c r="K91" s="455"/>
      <c r="L91" s="455"/>
      <c r="M91" s="455"/>
      <c r="N91" s="455"/>
      <c r="O91" s="455"/>
      <c r="P91" s="455"/>
      <c r="Q91" s="455"/>
      <c r="R91" s="455"/>
      <c r="S91" s="455"/>
      <c r="T91" s="455"/>
      <c r="U91" s="455"/>
      <c r="V91" s="455"/>
      <c r="W91" s="455"/>
      <c r="X91" s="455"/>
      <c r="Y91" s="455"/>
      <c r="Z91" s="455"/>
      <c r="AA91" s="455"/>
      <c r="AB91" s="455"/>
      <c r="AC91" s="455"/>
      <c r="AD91" s="455"/>
      <c r="AE91" s="455"/>
      <c r="AF91" s="455"/>
      <c r="AG91" s="455"/>
      <c r="AH91" s="455"/>
      <c r="AI91" s="455"/>
      <c r="AJ91" s="456"/>
      <c r="AK91" s="112">
        <v>78.47999999999999</v>
      </c>
      <c r="AL91" s="113">
        <v>2</v>
      </c>
      <c r="AM91" s="135">
        <f t="shared" si="11"/>
        <v>0</v>
      </c>
      <c r="AN91" s="152" t="s">
        <v>117</v>
      </c>
      <c r="AO91" s="139">
        <f t="shared" si="3"/>
        <v>46052</v>
      </c>
      <c r="AP91" s="114" t="str">
        <f t="shared" si="4"/>
        <v xml:space="preserve">SA1.1 </v>
      </c>
      <c r="AQ91" s="115"/>
      <c r="AR91" s="116"/>
      <c r="AS91" s="163"/>
      <c r="AT91" s="198"/>
      <c r="AU91" s="167"/>
      <c r="AV91" s="83"/>
      <c r="AW91" s="116"/>
      <c r="AX91" s="116"/>
      <c r="AY91" s="116"/>
      <c r="AZ91" s="116"/>
      <c r="BA91" s="116"/>
      <c r="BB91" s="117"/>
    </row>
    <row r="92" spans="1:54" s="3" customFormat="1" ht="14.1" customHeight="1">
      <c r="A92" s="73">
        <v>46053</v>
      </c>
      <c r="B92" s="542"/>
      <c r="C92" s="543"/>
      <c r="D92" s="544"/>
      <c r="E92" s="545"/>
      <c r="F92" s="545"/>
      <c r="G92" s="545"/>
      <c r="H92" s="545"/>
      <c r="I92" s="545"/>
      <c r="J92" s="545"/>
      <c r="K92" s="545"/>
      <c r="L92" s="545"/>
      <c r="M92" s="545"/>
      <c r="N92" s="545"/>
      <c r="O92" s="545"/>
      <c r="P92" s="545"/>
      <c r="Q92" s="545"/>
      <c r="R92" s="545"/>
      <c r="S92" s="545"/>
      <c r="T92" s="545"/>
      <c r="U92" s="545"/>
      <c r="V92" s="545"/>
      <c r="W92" s="545"/>
      <c r="X92" s="545"/>
      <c r="Y92" s="545"/>
      <c r="Z92" s="545"/>
      <c r="AA92" s="545"/>
      <c r="AB92" s="545"/>
      <c r="AC92" s="545"/>
      <c r="AD92" s="545"/>
      <c r="AE92" s="545"/>
      <c r="AF92" s="545"/>
      <c r="AG92" s="545"/>
      <c r="AH92" s="545"/>
      <c r="AI92" s="545"/>
      <c r="AJ92" s="546"/>
      <c r="AK92" s="124"/>
      <c r="AL92" s="125"/>
      <c r="AM92" s="134"/>
      <c r="AN92" s="153"/>
      <c r="AO92" s="140">
        <f t="shared" si="3"/>
        <v>46053</v>
      </c>
      <c r="AP92" s="126" t="str">
        <f t="shared" si="4"/>
        <v/>
      </c>
      <c r="AQ92" s="127"/>
      <c r="AR92" s="128"/>
      <c r="AS92" s="203"/>
      <c r="AT92" s="201"/>
      <c r="AU92" s="191"/>
      <c r="AV92" s="129"/>
      <c r="AW92" s="128"/>
      <c r="AX92" s="128"/>
      <c r="AY92" s="128"/>
      <c r="AZ92" s="128"/>
      <c r="BA92" s="128"/>
      <c r="BB92" s="130"/>
    </row>
    <row r="93" spans="1:54" s="3" customFormat="1" ht="15" customHeight="1">
      <c r="A93" s="446" t="s">
        <v>118</v>
      </c>
      <c r="B93" s="447"/>
      <c r="C93" s="447"/>
      <c r="D93" s="447"/>
      <c r="E93" s="447"/>
      <c r="F93" s="447"/>
      <c r="G93" s="447"/>
      <c r="H93" s="447"/>
      <c r="I93" s="447"/>
      <c r="J93" s="447"/>
      <c r="K93" s="447"/>
      <c r="L93" s="447"/>
      <c r="M93" s="447"/>
      <c r="N93" s="447"/>
      <c r="O93" s="447"/>
      <c r="P93" s="447"/>
      <c r="Q93" s="447"/>
      <c r="R93" s="447"/>
      <c r="S93" s="447"/>
      <c r="T93" s="447"/>
      <c r="U93" s="447"/>
      <c r="V93" s="447"/>
      <c r="W93" s="447"/>
      <c r="X93" s="447"/>
      <c r="Y93" s="447"/>
      <c r="Z93" s="447"/>
      <c r="AA93" s="447"/>
      <c r="AB93" s="447"/>
      <c r="AC93" s="447"/>
      <c r="AD93" s="447"/>
      <c r="AE93" s="447"/>
      <c r="AF93" s="447"/>
      <c r="AG93" s="447"/>
      <c r="AH93" s="447"/>
      <c r="AI93" s="447"/>
      <c r="AJ93" s="447"/>
      <c r="AK93" s="447"/>
      <c r="AL93" s="74">
        <f>SUM(AL58:AL92)+COUNTIF(AL58:AL92,"CO")*4</f>
        <v>72</v>
      </c>
      <c r="AM93" s="47">
        <f>SUM(AM58:AM92) + COUNTIF(AM58:AM92, "CO")*4</f>
        <v>72</v>
      </c>
      <c r="AO93" s="17"/>
      <c r="AP93" s="17"/>
      <c r="AT93" s="48"/>
      <c r="AV93" s="48"/>
    </row>
    <row r="94" spans="1:54" s="3" customFormat="1" ht="14.1" customHeight="1">
      <c r="A94" s="547" t="s">
        <v>119</v>
      </c>
      <c r="B94" s="548"/>
      <c r="C94" s="548"/>
      <c r="D94" s="548"/>
      <c r="E94" s="548"/>
      <c r="F94" s="548"/>
      <c r="G94" s="548"/>
      <c r="H94" s="548"/>
      <c r="I94" s="548"/>
      <c r="J94" s="548"/>
      <c r="K94" s="548"/>
      <c r="L94" s="548"/>
      <c r="M94" s="548"/>
      <c r="N94" s="548"/>
      <c r="O94" s="548"/>
      <c r="P94" s="548"/>
      <c r="Q94" s="548"/>
      <c r="R94" s="548"/>
      <c r="S94" s="548"/>
      <c r="T94" s="548"/>
      <c r="U94" s="548"/>
      <c r="V94" s="548"/>
      <c r="W94" s="548"/>
      <c r="X94" s="548"/>
      <c r="Y94" s="548"/>
      <c r="Z94" s="548"/>
      <c r="AA94" s="548"/>
      <c r="AB94" s="548"/>
      <c r="AC94" s="548"/>
      <c r="AD94" s="548"/>
      <c r="AE94" s="548"/>
      <c r="AF94" s="548"/>
      <c r="AG94" s="548"/>
      <c r="AH94" s="548"/>
      <c r="AI94" s="548"/>
      <c r="AJ94" s="548"/>
      <c r="AK94" s="548"/>
      <c r="AL94" s="548"/>
      <c r="AM94" s="549"/>
      <c r="AO94" s="17"/>
      <c r="AP94" s="17"/>
      <c r="AT94" s="48"/>
      <c r="AV94" s="48"/>
    </row>
    <row r="95" spans="1:54" s="3" customFormat="1" ht="14.85" customHeight="1" thickBot="1">
      <c r="A95" s="550"/>
      <c r="B95" s="551"/>
      <c r="C95" s="551"/>
      <c r="D95" s="551"/>
      <c r="E95" s="551"/>
      <c r="F95" s="551"/>
      <c r="G95" s="551"/>
      <c r="H95" s="551"/>
      <c r="I95" s="551"/>
      <c r="J95" s="551"/>
      <c r="K95" s="551"/>
      <c r="L95" s="551"/>
      <c r="M95" s="551"/>
      <c r="N95" s="551"/>
      <c r="O95" s="551"/>
      <c r="P95" s="551"/>
      <c r="Q95" s="551"/>
      <c r="R95" s="551"/>
      <c r="S95" s="551"/>
      <c r="T95" s="551"/>
      <c r="U95" s="551"/>
      <c r="V95" s="551"/>
      <c r="W95" s="551"/>
      <c r="X95" s="551"/>
      <c r="Y95" s="551"/>
      <c r="Z95" s="551"/>
      <c r="AA95" s="551"/>
      <c r="AB95" s="551"/>
      <c r="AC95" s="551"/>
      <c r="AD95" s="551"/>
      <c r="AE95" s="551"/>
      <c r="AF95" s="551"/>
      <c r="AG95" s="551"/>
      <c r="AH95" s="551"/>
      <c r="AI95" s="551"/>
      <c r="AJ95" s="551"/>
      <c r="AK95" s="551"/>
      <c r="AL95" s="551"/>
      <c r="AM95" s="552"/>
      <c r="AO95" s="17"/>
      <c r="AP95" s="17"/>
      <c r="AQ95" s="3" t="s">
        <v>36</v>
      </c>
      <c r="AT95" s="48"/>
      <c r="AV95" s="48"/>
    </row>
    <row r="96" spans="1:54" s="3" customFormat="1" ht="29.1" customHeight="1">
      <c r="A96" s="530" t="s">
        <v>120</v>
      </c>
      <c r="B96" s="531"/>
      <c r="C96" s="531"/>
      <c r="D96" s="532" t="s">
        <v>38</v>
      </c>
      <c r="E96" s="533"/>
      <c r="F96" s="533"/>
      <c r="G96" s="533"/>
      <c r="H96" s="533"/>
      <c r="I96" s="533"/>
      <c r="J96" s="533"/>
      <c r="K96" s="533"/>
      <c r="L96" s="533"/>
      <c r="M96" s="533"/>
      <c r="N96" s="533"/>
      <c r="O96" s="533"/>
      <c r="P96" s="533"/>
      <c r="Q96" s="533"/>
      <c r="R96" s="533"/>
      <c r="S96" s="533"/>
      <c r="T96" s="533"/>
      <c r="U96" s="533"/>
      <c r="V96" s="533"/>
      <c r="W96" s="533"/>
      <c r="X96" s="533"/>
      <c r="Y96" s="533"/>
      <c r="Z96" s="533"/>
      <c r="AA96" s="533"/>
      <c r="AB96" s="533"/>
      <c r="AC96" s="533"/>
      <c r="AD96" s="533"/>
      <c r="AE96" s="533"/>
      <c r="AF96" s="533"/>
      <c r="AG96" s="533"/>
      <c r="AH96" s="533"/>
      <c r="AI96" s="533"/>
      <c r="AJ96" s="533"/>
      <c r="AK96" s="533"/>
      <c r="AL96" s="533"/>
      <c r="AM96" s="534"/>
      <c r="AO96" s="17" t="s">
        <v>36</v>
      </c>
      <c r="AP96" s="17"/>
      <c r="AT96" s="48"/>
      <c r="AV96" s="48"/>
    </row>
    <row r="97" spans="1:48" s="3" customFormat="1" ht="29.1" customHeight="1">
      <c r="A97" s="535" t="s">
        <v>121</v>
      </c>
      <c r="B97" s="536"/>
      <c r="C97" s="536"/>
      <c r="D97" s="537"/>
      <c r="E97" s="538"/>
      <c r="F97" s="538"/>
      <c r="G97" s="538"/>
      <c r="H97" s="538"/>
      <c r="I97" s="538"/>
      <c r="J97" s="538"/>
      <c r="K97" s="538"/>
      <c r="L97" s="538"/>
      <c r="M97" s="538"/>
      <c r="N97" s="538"/>
      <c r="O97" s="538"/>
      <c r="P97" s="538"/>
      <c r="Q97" s="538"/>
      <c r="R97" s="538"/>
      <c r="S97" s="538"/>
      <c r="T97" s="538"/>
      <c r="U97" s="538"/>
      <c r="V97" s="538"/>
      <c r="W97" s="538"/>
      <c r="X97" s="538"/>
      <c r="Y97" s="538"/>
      <c r="Z97" s="538"/>
      <c r="AA97" s="538"/>
      <c r="AB97" s="538"/>
      <c r="AC97" s="538"/>
      <c r="AD97" s="538"/>
      <c r="AE97" s="538"/>
      <c r="AF97" s="538"/>
      <c r="AG97" s="538"/>
      <c r="AH97" s="538"/>
      <c r="AI97" s="538"/>
      <c r="AJ97" s="538"/>
      <c r="AK97" s="538"/>
      <c r="AL97" s="538"/>
      <c r="AM97" s="539"/>
      <c r="AO97" s="17"/>
      <c r="AP97" s="17"/>
      <c r="AT97" s="48"/>
      <c r="AV97" s="48"/>
    </row>
    <row r="98" spans="1:48" s="3" customFormat="1" ht="29.1" customHeight="1">
      <c r="A98" s="535" t="s">
        <v>122</v>
      </c>
      <c r="B98" s="536"/>
      <c r="C98" s="536"/>
      <c r="D98" s="540">
        <v>46052</v>
      </c>
      <c r="E98" s="419">
        <v>46052</v>
      </c>
      <c r="F98" s="419">
        <v>46052</v>
      </c>
      <c r="G98" s="419">
        <v>46052</v>
      </c>
      <c r="H98" s="419">
        <v>46052</v>
      </c>
      <c r="I98" s="419">
        <v>46052</v>
      </c>
      <c r="J98" s="419">
        <v>46052</v>
      </c>
      <c r="K98" s="419">
        <v>46052</v>
      </c>
      <c r="L98" s="419">
        <v>46052</v>
      </c>
      <c r="M98" s="419">
        <v>46052</v>
      </c>
      <c r="N98" s="419">
        <v>46052</v>
      </c>
      <c r="O98" s="419">
        <v>46052</v>
      </c>
      <c r="P98" s="419">
        <v>46052</v>
      </c>
      <c r="Q98" s="419">
        <v>46052</v>
      </c>
      <c r="R98" s="419">
        <v>46052</v>
      </c>
      <c r="S98" s="419">
        <v>46052</v>
      </c>
      <c r="T98" s="419">
        <v>46052</v>
      </c>
      <c r="U98" s="419">
        <v>46052</v>
      </c>
      <c r="V98" s="419">
        <v>46052</v>
      </c>
      <c r="W98" s="419">
        <v>46052</v>
      </c>
      <c r="X98" s="419">
        <v>46052</v>
      </c>
      <c r="Y98" s="419">
        <v>46052</v>
      </c>
      <c r="Z98" s="419">
        <v>46052</v>
      </c>
      <c r="AA98" s="419">
        <v>46052</v>
      </c>
      <c r="AB98" s="419">
        <v>46052</v>
      </c>
      <c r="AC98" s="419">
        <v>46052</v>
      </c>
      <c r="AD98" s="419">
        <v>46052</v>
      </c>
      <c r="AE98" s="419">
        <v>46052</v>
      </c>
      <c r="AF98" s="419">
        <v>46052</v>
      </c>
      <c r="AG98" s="419">
        <v>46052</v>
      </c>
      <c r="AH98" s="419">
        <v>46052</v>
      </c>
      <c r="AI98" s="419">
        <v>46052</v>
      </c>
      <c r="AJ98" s="419">
        <v>46052</v>
      </c>
      <c r="AK98" s="419">
        <v>46052</v>
      </c>
      <c r="AL98" s="419">
        <v>46052</v>
      </c>
      <c r="AM98" s="541">
        <v>46052</v>
      </c>
      <c r="AO98" s="17" t="s">
        <v>36</v>
      </c>
      <c r="AP98" s="17"/>
      <c r="AT98" s="48"/>
      <c r="AV98" s="48"/>
    </row>
    <row r="99" spans="1:48" s="3" customFormat="1" ht="12.95">
      <c r="A99" s="535"/>
      <c r="B99" s="536"/>
      <c r="C99" s="536"/>
      <c r="D99" s="558"/>
      <c r="E99" s="559"/>
      <c r="F99" s="559"/>
      <c r="G99" s="559"/>
      <c r="H99" s="559"/>
      <c r="I99" s="559"/>
      <c r="J99" s="559"/>
      <c r="K99" s="559"/>
      <c r="L99" s="559"/>
      <c r="M99" s="559"/>
      <c r="N99" s="559"/>
      <c r="O99" s="559"/>
      <c r="P99" s="559"/>
      <c r="Q99" s="559"/>
      <c r="R99" s="559"/>
      <c r="S99" s="559"/>
      <c r="T99" s="559"/>
      <c r="U99" s="559"/>
      <c r="V99" s="559"/>
      <c r="W99" s="559"/>
      <c r="X99" s="559"/>
      <c r="Y99" s="559"/>
      <c r="Z99" s="559"/>
      <c r="AA99" s="559"/>
      <c r="AB99" s="559"/>
      <c r="AC99" s="559"/>
      <c r="AD99" s="559"/>
      <c r="AE99" s="559"/>
      <c r="AF99" s="559"/>
      <c r="AG99" s="559"/>
      <c r="AH99" s="559"/>
      <c r="AI99" s="559"/>
      <c r="AJ99" s="559"/>
      <c r="AK99" s="559"/>
      <c r="AL99" s="559"/>
      <c r="AM99" s="560"/>
      <c r="AO99" s="17"/>
      <c r="AP99" s="17"/>
      <c r="AT99" s="48"/>
      <c r="AV99" s="48"/>
    </row>
    <row r="100" spans="1:48" s="3" customFormat="1" ht="29.1" customHeight="1">
      <c r="A100" s="535" t="s">
        <v>123</v>
      </c>
      <c r="B100" s="536"/>
      <c r="C100" s="536"/>
      <c r="D100" s="561" t="s">
        <v>124</v>
      </c>
      <c r="E100" s="562"/>
      <c r="F100" s="562"/>
      <c r="G100" s="562"/>
      <c r="H100" s="562"/>
      <c r="I100" s="562"/>
      <c r="J100" s="562"/>
      <c r="K100" s="562"/>
      <c r="L100" s="562"/>
      <c r="M100" s="562"/>
      <c r="N100" s="562"/>
      <c r="O100" s="562"/>
      <c r="P100" s="562"/>
      <c r="Q100" s="562"/>
      <c r="R100" s="562"/>
      <c r="S100" s="562"/>
      <c r="T100" s="562"/>
      <c r="U100" s="562"/>
      <c r="V100" s="562"/>
      <c r="W100" s="562"/>
      <c r="X100" s="562"/>
      <c r="Y100" s="562"/>
      <c r="Z100" s="562"/>
      <c r="AA100" s="562"/>
      <c r="AB100" s="562"/>
      <c r="AC100" s="562"/>
      <c r="AD100" s="562"/>
      <c r="AE100" s="562"/>
      <c r="AF100" s="562"/>
      <c r="AG100" s="562"/>
      <c r="AH100" s="562"/>
      <c r="AI100" s="562"/>
      <c r="AJ100" s="562"/>
      <c r="AK100" s="562"/>
      <c r="AL100" s="562"/>
      <c r="AM100" s="563"/>
      <c r="AO100" s="17"/>
      <c r="AP100" s="17"/>
      <c r="AT100" s="48"/>
      <c r="AV100" s="48"/>
    </row>
    <row r="101" spans="1:48" s="3" customFormat="1" ht="29.1" customHeight="1">
      <c r="A101" s="535" t="s">
        <v>121</v>
      </c>
      <c r="B101" s="536"/>
      <c r="C101" s="536"/>
      <c r="D101" s="537"/>
      <c r="E101" s="538"/>
      <c r="F101" s="538"/>
      <c r="G101" s="538"/>
      <c r="H101" s="538"/>
      <c r="I101" s="538"/>
      <c r="J101" s="538"/>
      <c r="K101" s="538"/>
      <c r="L101" s="538"/>
      <c r="M101" s="538"/>
      <c r="N101" s="538"/>
      <c r="O101" s="538"/>
      <c r="P101" s="538"/>
      <c r="Q101" s="538"/>
      <c r="R101" s="538"/>
      <c r="S101" s="538"/>
      <c r="T101" s="538"/>
      <c r="U101" s="538"/>
      <c r="V101" s="538"/>
      <c r="W101" s="538"/>
      <c r="X101" s="538"/>
      <c r="Y101" s="538"/>
      <c r="Z101" s="538"/>
      <c r="AA101" s="538"/>
      <c r="AB101" s="538"/>
      <c r="AC101" s="538"/>
      <c r="AD101" s="538"/>
      <c r="AE101" s="538"/>
      <c r="AF101" s="538"/>
      <c r="AG101" s="538"/>
      <c r="AH101" s="538"/>
      <c r="AI101" s="538"/>
      <c r="AJ101" s="538"/>
      <c r="AK101" s="538"/>
      <c r="AL101" s="538"/>
      <c r="AM101" s="539"/>
      <c r="AO101" s="17"/>
      <c r="AP101" s="17"/>
      <c r="AR101" s="3" t="s">
        <v>99</v>
      </c>
      <c r="AT101" s="48"/>
      <c r="AV101" s="48"/>
    </row>
    <row r="102" spans="1:48" s="3" customFormat="1" ht="29.1" customHeight="1" thickBot="1">
      <c r="A102" s="553" t="s">
        <v>122</v>
      </c>
      <c r="B102" s="554"/>
      <c r="C102" s="554"/>
      <c r="D102" s="555">
        <v>46052</v>
      </c>
      <c r="E102" s="556">
        <v>46052</v>
      </c>
      <c r="F102" s="556">
        <v>46052</v>
      </c>
      <c r="G102" s="556">
        <v>46052</v>
      </c>
      <c r="H102" s="556">
        <v>46052</v>
      </c>
      <c r="I102" s="556">
        <v>46052</v>
      </c>
      <c r="J102" s="556">
        <v>46052</v>
      </c>
      <c r="K102" s="556">
        <v>46052</v>
      </c>
      <c r="L102" s="556">
        <v>46052</v>
      </c>
      <c r="M102" s="556">
        <v>46052</v>
      </c>
      <c r="N102" s="556">
        <v>46052</v>
      </c>
      <c r="O102" s="556">
        <v>46052</v>
      </c>
      <c r="P102" s="556">
        <v>46052</v>
      </c>
      <c r="Q102" s="556">
        <v>46052</v>
      </c>
      <c r="R102" s="556">
        <v>46052</v>
      </c>
      <c r="S102" s="556">
        <v>46052</v>
      </c>
      <c r="T102" s="556">
        <v>46052</v>
      </c>
      <c r="U102" s="556">
        <v>46052</v>
      </c>
      <c r="V102" s="556">
        <v>46052</v>
      </c>
      <c r="W102" s="556">
        <v>46052</v>
      </c>
      <c r="X102" s="556">
        <v>46052</v>
      </c>
      <c r="Y102" s="556">
        <v>46052</v>
      </c>
      <c r="Z102" s="556">
        <v>46052</v>
      </c>
      <c r="AA102" s="556">
        <v>46052</v>
      </c>
      <c r="AB102" s="556">
        <v>46052</v>
      </c>
      <c r="AC102" s="556">
        <v>46052</v>
      </c>
      <c r="AD102" s="556">
        <v>46052</v>
      </c>
      <c r="AE102" s="556">
        <v>46052</v>
      </c>
      <c r="AF102" s="556">
        <v>46052</v>
      </c>
      <c r="AG102" s="556">
        <v>46052</v>
      </c>
      <c r="AH102" s="556">
        <v>46052</v>
      </c>
      <c r="AI102" s="556">
        <v>46052</v>
      </c>
      <c r="AJ102" s="556">
        <v>46052</v>
      </c>
      <c r="AK102" s="556">
        <v>46052</v>
      </c>
      <c r="AL102" s="556">
        <v>46052</v>
      </c>
      <c r="AM102" s="557">
        <v>46052</v>
      </c>
      <c r="AO102" s="17"/>
      <c r="AP102" s="17"/>
      <c r="AT102" s="48"/>
      <c r="AV102" s="48"/>
    </row>
    <row r="103" spans="1:48" s="3" customFormat="1" ht="12.95">
      <c r="A103" s="419"/>
      <c r="B103" s="419"/>
      <c r="C103" s="419"/>
      <c r="AO103" s="17"/>
      <c r="AP103" s="17"/>
      <c r="AT103" s="48"/>
      <c r="AV103" s="48"/>
    </row>
    <row r="104" spans="1:48" s="3" customFormat="1" ht="12.95">
      <c r="A104" s="5"/>
      <c r="AO104" s="17"/>
      <c r="AP104" s="17"/>
      <c r="AT104" s="48"/>
      <c r="AV104" s="48"/>
    </row>
    <row r="105" spans="1:48" s="3" customFormat="1" ht="12.95">
      <c r="A105" s="5"/>
      <c r="AO105" s="17"/>
      <c r="AP105" s="17"/>
      <c r="AT105" s="48"/>
      <c r="AV105" s="48"/>
    </row>
    <row r="106" spans="1:48" s="3" customFormat="1" ht="12.95">
      <c r="A106" s="5"/>
      <c r="AO106" s="17"/>
      <c r="AP106" s="17"/>
      <c r="AT106" s="48"/>
      <c r="AV106" s="48"/>
    </row>
    <row r="107" spans="1:48" s="3" customFormat="1" ht="12.95">
      <c r="A107" s="5"/>
      <c r="AO107" s="17"/>
      <c r="AP107" s="17"/>
      <c r="AT107" s="48"/>
      <c r="AV107" s="48"/>
    </row>
    <row r="108" spans="1:48" s="3" customFormat="1" ht="12.95">
      <c r="A108" s="5"/>
      <c r="AO108" s="17"/>
      <c r="AP108" s="17"/>
      <c r="AT108" s="48"/>
      <c r="AV108" s="48"/>
    </row>
    <row r="109" spans="1:48" s="3" customFormat="1" ht="12.95">
      <c r="A109" s="5"/>
      <c r="AO109" s="17"/>
      <c r="AP109" s="17"/>
      <c r="AT109" s="48"/>
      <c r="AV109" s="48"/>
    </row>
    <row r="110" spans="1:48" s="3" customFormat="1" ht="12.95">
      <c r="A110" s="5"/>
      <c r="AO110" s="17"/>
      <c r="AP110" s="17"/>
      <c r="AT110" s="48"/>
      <c r="AV110" s="48"/>
    </row>
    <row r="111" spans="1:48" s="3" customFormat="1" ht="12.95">
      <c r="A111" s="5"/>
      <c r="AO111" s="17"/>
      <c r="AP111" s="17"/>
      <c r="AT111" s="48"/>
      <c r="AV111" s="48"/>
    </row>
    <row r="112" spans="1:48" s="3" customFormat="1" ht="12.95">
      <c r="A112" s="5"/>
      <c r="AO112" s="17"/>
      <c r="AP112" s="17"/>
      <c r="AT112" s="48"/>
      <c r="AV112" s="48"/>
    </row>
    <row r="113" spans="1:48" s="3" customFormat="1" ht="12.95">
      <c r="A113" s="5"/>
      <c r="AO113" s="17"/>
      <c r="AP113" s="17"/>
      <c r="AT113" s="48"/>
      <c r="AV113" s="48"/>
    </row>
    <row r="114" spans="1:48" s="3" customFormat="1" ht="12.95">
      <c r="A114" s="5"/>
      <c r="AO114" s="17"/>
      <c r="AP114" s="17"/>
      <c r="AT114" s="48"/>
      <c r="AV114" s="48"/>
    </row>
    <row r="115" spans="1:48" s="3" customFormat="1" ht="12.95">
      <c r="A115" s="5"/>
      <c r="AO115" s="17"/>
      <c r="AP115" s="17"/>
      <c r="AT115" s="48"/>
      <c r="AV115" s="48"/>
    </row>
    <row r="116" spans="1:48" s="3" customFormat="1" ht="12.95">
      <c r="A116" s="5"/>
      <c r="AO116" s="17"/>
      <c r="AP116" s="17"/>
      <c r="AT116" s="48"/>
      <c r="AV116" s="48"/>
    </row>
    <row r="117" spans="1:48" s="3" customFormat="1" ht="12.95">
      <c r="A117" s="5"/>
      <c r="AO117" s="17"/>
      <c r="AP117" s="17"/>
      <c r="AT117" s="48"/>
      <c r="AV117" s="48"/>
    </row>
    <row r="118" spans="1:48" s="3" customFormat="1" ht="12.95">
      <c r="A118" s="5"/>
      <c r="AO118" s="17"/>
      <c r="AP118" s="17"/>
      <c r="AT118" s="48"/>
      <c r="AV118" s="48"/>
    </row>
    <row r="119" spans="1:48" s="3" customFormat="1" ht="12.95">
      <c r="A119" s="5"/>
      <c r="AO119" s="17"/>
      <c r="AP119" s="17"/>
      <c r="AT119" s="48"/>
      <c r="AV119" s="48"/>
    </row>
    <row r="120" spans="1:48" s="3" customFormat="1" ht="12.95">
      <c r="A120" s="5"/>
      <c r="AO120" s="17"/>
      <c r="AP120" s="17"/>
      <c r="AT120" s="48"/>
      <c r="AV120" s="48"/>
    </row>
    <row r="121" spans="1:48" s="3" customFormat="1" ht="12.95">
      <c r="A121" s="5"/>
      <c r="AO121" s="17"/>
      <c r="AP121" s="17"/>
      <c r="AT121" s="48"/>
      <c r="AV121" s="48"/>
    </row>
    <row r="122" spans="1:48" s="3" customFormat="1" ht="12.95">
      <c r="A122" s="5"/>
      <c r="AO122" s="17"/>
      <c r="AP122" s="17"/>
      <c r="AT122" s="48"/>
      <c r="AV122" s="48"/>
    </row>
    <row r="123" spans="1:48" s="3" customFormat="1" ht="12.95">
      <c r="A123" s="5"/>
      <c r="AO123" s="17"/>
      <c r="AP123" s="17"/>
      <c r="AT123" s="48"/>
      <c r="AV123" s="48"/>
    </row>
    <row r="124" spans="1:48" s="3" customFormat="1" ht="12.95">
      <c r="A124" s="5"/>
      <c r="AO124" s="17"/>
      <c r="AP124" s="17"/>
      <c r="AT124" s="48"/>
      <c r="AV124" s="48"/>
    </row>
    <row r="125" spans="1:48" s="3" customFormat="1" ht="12.95">
      <c r="A125" s="5"/>
      <c r="AO125" s="17"/>
      <c r="AP125" s="17"/>
      <c r="AT125" s="48"/>
      <c r="AV125" s="48"/>
    </row>
    <row r="126" spans="1:48" s="3" customFormat="1" ht="12.95">
      <c r="A126" s="5"/>
      <c r="AO126" s="17"/>
      <c r="AP126" s="17"/>
      <c r="AT126" s="48"/>
      <c r="AV126" s="48"/>
    </row>
    <row r="127" spans="1:48" s="3" customFormat="1" ht="12.95">
      <c r="A127" s="5"/>
      <c r="AO127" s="17"/>
      <c r="AP127" s="17"/>
      <c r="AT127" s="48"/>
      <c r="AV127" s="48"/>
    </row>
    <row r="128" spans="1:48" s="3" customFormat="1" ht="12.95">
      <c r="A128" s="5"/>
      <c r="AO128" s="17"/>
      <c r="AP128" s="17"/>
      <c r="AT128" s="48"/>
      <c r="AV128" s="48"/>
    </row>
    <row r="129" spans="1:48" s="3" customFormat="1" ht="12.95">
      <c r="A129" s="5"/>
      <c r="AO129" s="17"/>
      <c r="AP129" s="17"/>
      <c r="AT129" s="48"/>
      <c r="AV129" s="48"/>
    </row>
    <row r="130" spans="1:48" s="3" customFormat="1" ht="12.95">
      <c r="A130" s="5"/>
      <c r="AO130" s="17"/>
      <c r="AP130" s="17"/>
      <c r="AT130" s="48"/>
      <c r="AV130" s="48"/>
    </row>
    <row r="131" spans="1:48" s="3" customFormat="1" ht="12.95">
      <c r="A131" s="5"/>
      <c r="AO131" s="17"/>
      <c r="AP131" s="17"/>
      <c r="AT131" s="48"/>
      <c r="AV131" s="48"/>
    </row>
    <row r="132" spans="1:48" s="3" customFormat="1" ht="12.95">
      <c r="A132" s="5"/>
      <c r="AO132" s="17"/>
      <c r="AP132" s="17"/>
      <c r="AT132" s="48"/>
      <c r="AV132" s="48"/>
    </row>
    <row r="133" spans="1:48" s="3" customFormat="1" ht="12.95">
      <c r="A133" s="5"/>
      <c r="AO133" s="17"/>
      <c r="AP133" s="17"/>
      <c r="AT133" s="48"/>
      <c r="AV133" s="48"/>
    </row>
    <row r="134" spans="1:48" s="3" customFormat="1" ht="12.95">
      <c r="A134" s="5"/>
      <c r="AO134" s="17"/>
      <c r="AP134" s="17"/>
      <c r="AT134" s="48"/>
      <c r="AV134" s="48"/>
    </row>
    <row r="135" spans="1:48" s="3" customFormat="1" ht="12.95">
      <c r="A135" s="5"/>
      <c r="AO135" s="17"/>
      <c r="AP135" s="17"/>
      <c r="AT135" s="48"/>
      <c r="AV135" s="48"/>
    </row>
    <row r="136" spans="1:48" s="3" customFormat="1" ht="12.95">
      <c r="A136" s="5"/>
      <c r="AO136" s="17"/>
      <c r="AP136" s="17"/>
      <c r="AT136" s="48"/>
      <c r="AV136" s="48"/>
    </row>
    <row r="137" spans="1:48" s="3" customFormat="1" ht="12.95">
      <c r="A137" s="5"/>
      <c r="AO137" s="17"/>
      <c r="AP137" s="17"/>
      <c r="AT137" s="48"/>
      <c r="AV137" s="48"/>
    </row>
    <row r="138" spans="1:48" s="3" customFormat="1" ht="12.95">
      <c r="A138" s="5"/>
      <c r="AO138" s="17"/>
      <c r="AP138" s="17"/>
      <c r="AT138" s="48"/>
      <c r="AV138" s="48"/>
    </row>
    <row r="139" spans="1:48" s="3" customFormat="1" ht="12.95">
      <c r="A139" s="5"/>
      <c r="AO139" s="17"/>
      <c r="AP139" s="17"/>
      <c r="AT139" s="48"/>
      <c r="AV139" s="48"/>
    </row>
    <row r="140" spans="1:48" s="3" customFormat="1" ht="12.95">
      <c r="A140" s="5"/>
      <c r="AO140" s="17"/>
      <c r="AP140" s="17"/>
      <c r="AT140" s="48"/>
      <c r="AV140" s="48"/>
    </row>
    <row r="141" spans="1:48" s="3" customFormat="1" ht="12.95">
      <c r="A141" s="5"/>
      <c r="AO141" s="17"/>
      <c r="AP141" s="17"/>
      <c r="AT141" s="48"/>
      <c r="AV141" s="48"/>
    </row>
    <row r="142" spans="1:48" s="3" customFormat="1" ht="12.95">
      <c r="A142" s="5"/>
      <c r="AO142" s="17"/>
      <c r="AP142" s="17"/>
      <c r="AT142" s="48"/>
      <c r="AV142" s="48"/>
    </row>
    <row r="143" spans="1:48" s="3" customFormat="1" ht="12.95">
      <c r="A143" s="5"/>
      <c r="AO143" s="17"/>
      <c r="AP143" s="17"/>
      <c r="AT143" s="48"/>
      <c r="AV143" s="48"/>
    </row>
    <row r="144" spans="1:48" s="3" customFormat="1" ht="12.95">
      <c r="A144" s="5"/>
      <c r="AO144" s="17"/>
      <c r="AP144" s="17"/>
      <c r="AT144" s="48"/>
      <c r="AV144" s="48"/>
    </row>
    <row r="145" spans="1:48" s="3" customFormat="1" ht="12.95">
      <c r="A145" s="5"/>
      <c r="AO145" s="17"/>
      <c r="AP145" s="17"/>
      <c r="AT145" s="48"/>
      <c r="AV145" s="48"/>
    </row>
    <row r="146" spans="1:48" s="3" customFormat="1" ht="12.95">
      <c r="A146" s="5"/>
      <c r="AO146" s="17"/>
      <c r="AP146" s="17"/>
      <c r="AT146" s="48"/>
      <c r="AV146" s="48"/>
    </row>
    <row r="147" spans="1:48" s="3" customFormat="1" ht="12.95">
      <c r="A147" s="5"/>
      <c r="AO147" s="17"/>
      <c r="AP147" s="17"/>
      <c r="AT147" s="48"/>
      <c r="AV147" s="48"/>
    </row>
    <row r="148" spans="1:48" s="3" customFormat="1" ht="12.95">
      <c r="A148" s="5"/>
      <c r="AO148" s="17"/>
      <c r="AP148" s="17"/>
      <c r="AT148" s="48"/>
      <c r="AV148" s="48"/>
    </row>
    <row r="149" spans="1:48" s="3" customFormat="1" ht="12.95">
      <c r="A149" s="5"/>
      <c r="AO149" s="17"/>
      <c r="AP149" s="17"/>
      <c r="AT149" s="48"/>
      <c r="AV149" s="48"/>
    </row>
    <row r="150" spans="1:48" s="3" customFormat="1" ht="12.95">
      <c r="A150" s="5"/>
      <c r="AO150" s="17"/>
      <c r="AP150" s="17"/>
      <c r="AT150" s="48"/>
      <c r="AV150" s="48"/>
    </row>
    <row r="151" spans="1:48" s="3" customFormat="1" ht="12.95">
      <c r="A151" s="5"/>
      <c r="AO151" s="17"/>
      <c r="AP151" s="17"/>
      <c r="AT151" s="48"/>
      <c r="AV151" s="48"/>
    </row>
    <row r="152" spans="1:48" s="3" customFormat="1" ht="12.95">
      <c r="A152" s="5"/>
      <c r="AO152" s="17"/>
      <c r="AP152" s="17"/>
      <c r="AT152" s="48"/>
      <c r="AV152" s="48"/>
    </row>
    <row r="153" spans="1:48" s="3" customFormat="1" ht="12.95">
      <c r="A153" s="5"/>
      <c r="AO153" s="17"/>
      <c r="AP153" s="17"/>
      <c r="AT153" s="48"/>
      <c r="AV153" s="48"/>
    </row>
    <row r="154" spans="1:48" s="3" customFormat="1" ht="12.95">
      <c r="A154" s="5"/>
      <c r="AO154" s="17"/>
      <c r="AP154" s="17"/>
      <c r="AT154" s="48"/>
      <c r="AV154" s="48"/>
    </row>
    <row r="155" spans="1:48" s="3" customFormat="1" ht="12.95">
      <c r="A155" s="5"/>
      <c r="AO155" s="17"/>
      <c r="AP155" s="17"/>
      <c r="AT155" s="48"/>
      <c r="AV155" s="48"/>
    </row>
    <row r="156" spans="1:48" s="3" customFormat="1" ht="12.95">
      <c r="A156" s="5"/>
      <c r="AO156" s="17"/>
      <c r="AP156" s="17"/>
      <c r="AT156" s="48"/>
      <c r="AV156" s="48"/>
    </row>
    <row r="157" spans="1:48" s="3" customFormat="1" ht="12.95">
      <c r="A157" s="5"/>
      <c r="AO157" s="17"/>
      <c r="AP157" s="17"/>
      <c r="AT157" s="48"/>
      <c r="AV157" s="48"/>
    </row>
    <row r="158" spans="1:48" s="3" customFormat="1" ht="12.95">
      <c r="A158" s="5"/>
      <c r="AO158" s="17"/>
      <c r="AP158" s="17"/>
      <c r="AT158" s="48"/>
      <c r="AV158" s="48"/>
    </row>
    <row r="159" spans="1:48" s="3" customFormat="1" ht="12.95">
      <c r="A159" s="5"/>
      <c r="AO159" s="17"/>
      <c r="AP159" s="17"/>
      <c r="AT159" s="48"/>
      <c r="AV159" s="48"/>
    </row>
    <row r="160" spans="1:48" s="3" customFormat="1" ht="12.95">
      <c r="A160" s="5"/>
      <c r="AO160" s="17"/>
      <c r="AP160" s="17"/>
      <c r="AT160" s="48"/>
      <c r="AV160" s="48"/>
    </row>
    <row r="161" spans="1:48" s="3" customFormat="1" ht="12.95">
      <c r="A161" s="5"/>
      <c r="AO161" s="17"/>
      <c r="AP161" s="17"/>
      <c r="AT161" s="48"/>
      <c r="AV161" s="48"/>
    </row>
    <row r="162" spans="1:48" s="3" customFormat="1" ht="12.95">
      <c r="A162" s="5"/>
      <c r="AO162" s="17"/>
      <c r="AP162" s="17"/>
      <c r="AT162" s="48"/>
      <c r="AV162" s="48"/>
    </row>
    <row r="163" spans="1:48" s="3" customFormat="1" ht="12.95">
      <c r="A163" s="5"/>
      <c r="AO163" s="17"/>
      <c r="AP163" s="17"/>
      <c r="AT163" s="48"/>
      <c r="AV163" s="48"/>
    </row>
    <row r="164" spans="1:48" s="3" customFormat="1" ht="12.95">
      <c r="A164" s="5"/>
      <c r="AO164" s="17"/>
      <c r="AP164" s="17"/>
      <c r="AT164" s="48"/>
      <c r="AV164" s="48"/>
    </row>
    <row r="165" spans="1:48" s="3" customFormat="1" ht="12.95">
      <c r="A165" s="5"/>
      <c r="AO165" s="17"/>
      <c r="AP165" s="17"/>
      <c r="AT165" s="48"/>
      <c r="AV165" s="48"/>
    </row>
    <row r="166" spans="1:48" s="3" customFormat="1" ht="12.95">
      <c r="A166" s="5"/>
      <c r="AO166" s="17"/>
      <c r="AP166" s="17"/>
      <c r="AT166" s="48"/>
      <c r="AV166" s="48"/>
    </row>
    <row r="167" spans="1:48" s="3" customFormat="1" ht="12.95">
      <c r="A167" s="5"/>
      <c r="AO167" s="17"/>
      <c r="AP167" s="17"/>
      <c r="AT167" s="48"/>
      <c r="AV167" s="48"/>
    </row>
    <row r="168" spans="1:48" s="3" customFormat="1" ht="12.95">
      <c r="A168" s="5"/>
      <c r="AO168" s="17"/>
      <c r="AP168" s="17"/>
      <c r="AT168" s="48"/>
      <c r="AV168" s="48"/>
    </row>
    <row r="169" spans="1:48" ht="12.95">
      <c r="A169" s="5"/>
    </row>
    <row r="170" spans="1:48" ht="12.95">
      <c r="A170" s="5"/>
    </row>
    <row r="171" spans="1:48" ht="12.95">
      <c r="A171" s="5"/>
    </row>
    <row r="172" spans="1:48" ht="12.95">
      <c r="A172" s="5"/>
    </row>
    <row r="173" spans="1:48" ht="12.95">
      <c r="A173" s="5"/>
    </row>
  </sheetData>
  <sheetProtection insertRows="0" insertHyperlinks="0" autoFilter="0"/>
  <protectedRanges>
    <protectedRange algorithmName="SHA-512" hashValue="7FJpRjMClRRlEDaRiv2I45XnJ5nVe6Y81mjOK27+pd76r1+ad5pIvVkVn8vpLooPef4Z+bpcH2bfqg0F/3hsww==" saltValue="Lq5joJryvX0cvidipyTKig==" spinCount="100000" sqref="AI15:AI16" name="Total ore_2_1_1"/>
  </protectedRanges>
  <mergeCells count="120">
    <mergeCell ref="A102:C102"/>
    <mergeCell ref="D102:AM102"/>
    <mergeCell ref="A103:C103"/>
    <mergeCell ref="A99:C99"/>
    <mergeCell ref="D99:AM99"/>
    <mergeCell ref="A100:C100"/>
    <mergeCell ref="D100:AM100"/>
    <mergeCell ref="A101:C101"/>
    <mergeCell ref="D101:AM101"/>
    <mergeCell ref="A96:C96"/>
    <mergeCell ref="D96:AM96"/>
    <mergeCell ref="A97:C97"/>
    <mergeCell ref="D97:AM97"/>
    <mergeCell ref="A98:C98"/>
    <mergeCell ref="D98:AM98"/>
    <mergeCell ref="B91:C91"/>
    <mergeCell ref="D91:AJ91"/>
    <mergeCell ref="B92:C92"/>
    <mergeCell ref="D92:AJ92"/>
    <mergeCell ref="A93:AK93"/>
    <mergeCell ref="A94:AM95"/>
    <mergeCell ref="B86:C86"/>
    <mergeCell ref="D86:AJ86"/>
    <mergeCell ref="B87:C87"/>
    <mergeCell ref="D87:AJ87"/>
    <mergeCell ref="B88:C88"/>
    <mergeCell ref="D88:AJ88"/>
    <mergeCell ref="B83:C83"/>
    <mergeCell ref="D83:AJ83"/>
    <mergeCell ref="B84:C84"/>
    <mergeCell ref="D84:AJ84"/>
    <mergeCell ref="B85:C85"/>
    <mergeCell ref="D85:AJ85"/>
    <mergeCell ref="B79:C79"/>
    <mergeCell ref="D79:AJ79"/>
    <mergeCell ref="B81:C81"/>
    <mergeCell ref="D81:AJ81"/>
    <mergeCell ref="B82:C82"/>
    <mergeCell ref="D82:AJ82"/>
    <mergeCell ref="B76:C76"/>
    <mergeCell ref="D76:AJ76"/>
    <mergeCell ref="B77:C77"/>
    <mergeCell ref="D77:AJ77"/>
    <mergeCell ref="B78:C78"/>
    <mergeCell ref="D78:AJ78"/>
    <mergeCell ref="D65:AJ65"/>
    <mergeCell ref="D61:AJ61"/>
    <mergeCell ref="B62:C62"/>
    <mergeCell ref="D62:AJ62"/>
    <mergeCell ref="B73:C73"/>
    <mergeCell ref="D73:AJ73"/>
    <mergeCell ref="B74:C74"/>
    <mergeCell ref="D74:AJ74"/>
    <mergeCell ref="B75:C75"/>
    <mergeCell ref="D75:AJ75"/>
    <mergeCell ref="B69:C69"/>
    <mergeCell ref="D69:AJ69"/>
    <mergeCell ref="B71:C71"/>
    <mergeCell ref="D71:AJ71"/>
    <mergeCell ref="B72:C72"/>
    <mergeCell ref="D72:AJ72"/>
    <mergeCell ref="B70:C70"/>
    <mergeCell ref="D70:AJ70"/>
    <mergeCell ref="B57:C57"/>
    <mergeCell ref="AK12:AK14"/>
    <mergeCell ref="AL12:AL14"/>
    <mergeCell ref="I19:O19"/>
    <mergeCell ref="P19:V19"/>
    <mergeCell ref="I21:O21"/>
    <mergeCell ref="P21:V21"/>
    <mergeCell ref="A54:F54"/>
    <mergeCell ref="G54:AM54"/>
    <mergeCell ref="A55:F55"/>
    <mergeCell ref="G55:AM55"/>
    <mergeCell ref="I27:O27"/>
    <mergeCell ref="P27:V27"/>
    <mergeCell ref="A52:F52"/>
    <mergeCell ref="G52:AM52"/>
    <mergeCell ref="A53:F53"/>
    <mergeCell ref="G53:AM53"/>
    <mergeCell ref="D57:AJ57"/>
    <mergeCell ref="I26:O26"/>
    <mergeCell ref="P26:V26"/>
    <mergeCell ref="AJ12:AJ14"/>
    <mergeCell ref="A56:F56"/>
    <mergeCell ref="G56:AM56"/>
    <mergeCell ref="B58:C58"/>
    <mergeCell ref="D58:AJ58"/>
    <mergeCell ref="B59:C59"/>
    <mergeCell ref="B80:C80"/>
    <mergeCell ref="D80:AJ80"/>
    <mergeCell ref="B89:C89"/>
    <mergeCell ref="D89:AJ89"/>
    <mergeCell ref="B90:C90"/>
    <mergeCell ref="D90:AJ90"/>
    <mergeCell ref="B60:C60"/>
    <mergeCell ref="D60:AJ60"/>
    <mergeCell ref="B61:C61"/>
    <mergeCell ref="D59:AJ59"/>
    <mergeCell ref="B66:C66"/>
    <mergeCell ref="D66:AJ66"/>
    <mergeCell ref="B67:C67"/>
    <mergeCell ref="D67:AJ67"/>
    <mergeCell ref="B68:C68"/>
    <mergeCell ref="D68:AJ68"/>
    <mergeCell ref="B63:C63"/>
    <mergeCell ref="D63:AJ63"/>
    <mergeCell ref="B64:C64"/>
    <mergeCell ref="D64:AJ64"/>
    <mergeCell ref="B65:C65"/>
    <mergeCell ref="B8:AF10"/>
    <mergeCell ref="B11:AF11"/>
    <mergeCell ref="A12:AF12"/>
    <mergeCell ref="AG12:AG14"/>
    <mergeCell ref="AH12:AH14"/>
    <mergeCell ref="AI12:AI14"/>
    <mergeCell ref="I24:O24"/>
    <mergeCell ref="P24:V24"/>
    <mergeCell ref="I25:O25"/>
    <mergeCell ref="P25:V25"/>
  </mergeCells>
  <phoneticPr fontId="11" type="noConversion"/>
  <dataValidations count="6">
    <dataValidation type="custom" allowBlank="1" showInputMessage="1" showErrorMessage="1" errorTitle="Eroare Validare Livrabil" error="Categoria livrabilului (AU) este obligatoriu." sqref="AV91:AV92" xr:uid="{69EDEEFB-04A9-46B0-9812-E60C03A88B3E}">
      <formula1>#REF!&lt;&gt;""</formula1>
    </dataValidation>
    <dataValidation type="custom" errorStyle="warning" showInputMessage="1" showErrorMessage="1" errorTitle="Eroare Validare RP" error="- Dacă AQ este „Da”, trebuie să completezi AR cu experții._x000a_- Stadiul livrabilului (AS) este obligatoriu._x000a_" promptTitle="Validare RP" prompt="Selectează „Da” sau „Nu” pentru Livrabil Comun._x000a_- AR: Completează experții dacă AQ este „Da”._x000a_- AS: Completează stadiul livrabilului (obligatoriu)." sqref="AT91" xr:uid="{C849DC80-A205-478C-8402-8D6193F8B169}">
      <formula1>AND(#REF!="Nu", OR(#REF!="Da", AND(#REF!="Da", #REF!&lt;&gt;"")), #REF!&lt;&gt;"")</formula1>
    </dataValidation>
    <dataValidation type="custom" allowBlank="1" showInputMessage="1" showErrorMessage="1" errorTitle="Eroare Validare Livrabil" error="Categoria livrabilului (AU) este obligatoriu." sqref="AV72 AV68:AV70" xr:uid="{9B1550EE-E49D-4C3A-80BF-5781CF617EC5}">
      <formula1>AU71&lt;&gt;""</formula1>
    </dataValidation>
    <dataValidation type="custom" allowBlank="1" showInputMessage="1" showErrorMessage="1" errorTitle="Eroare Validare Livrabil" error="Categoria livrabilului (AU) este obligatoriu." sqref="AV58:AV59 AV61 AV74 AV64 AV76:AV86 AT79" xr:uid="{CE356DA9-D3BE-4290-892A-F58C119A8EA9}">
      <formula1>AS60&lt;&gt;""</formula1>
    </dataValidation>
    <dataValidation type="custom" errorStyle="warning" showInputMessage="1" showErrorMessage="1" errorTitle="Eroare Validare RP" error="- Dacă AQ este „Da”, trebuie să completezi AR cu experții._x000a_- Stadiul livrabilului (AS) este obligatoriu._x000a_" promptTitle="Validare RP" prompt="Selectează „Da” sau „Nu” pentru Livrabil Comun._x000a_- AR: Completează experții dacă AQ este „Da”._x000a_- AS: Completează stadiul livrabilului (obligatoriu)." sqref="AT75 AT58:AT59 AT92 AT64 AT86 AT83:AT84" xr:uid="{D387DEB3-F477-4972-A689-900E1CF802C2}">
      <formula1>AND(AQ60="Nu", OR(AQ60="Da", AND(AQ60="Da", AR60&lt;&gt;"")), AS60&lt;&gt;"")</formula1>
    </dataValidation>
    <dataValidation type="custom" allowBlank="1" showInputMessage="1" showErrorMessage="1" errorTitle="Eroare Validare Livrabil" promptTitle="Validare livrabil" prompt="Asigură-te că celula ”Categorie livrabil 2” este completată înainte de a introduce date în Livrabil 2" sqref="AX58:AX92" xr:uid="{FB0BFE43-DCD6-4A93-86DA-B3EEC99E74B1}">
      <formula1>AW60&lt;&gt;""</formula1>
    </dataValidation>
  </dataValidations>
  <hyperlinks>
    <hyperlink ref="AT69" r:id="rId1" display="20260112_RP_GDPR facturare si plata Quickdata.docx" xr:uid="{544C3D0B-DA25-4D23-9B98-7C41F388E6EE}"/>
    <hyperlink ref="AT71" r:id="rId2" display="20260113_RP_ GDPR_Comunicate_Dec 2025.docx" xr:uid="{00020CB6-8A3D-47A5-BCE7-9D10FDDA1C5A}"/>
    <hyperlink ref="AT74" r:id="rId3" display="20260116_RP_ Intalniri online -dec 2025.docx" xr:uid="{9A290CBC-08E7-483C-9E8C-98A81FBA50B8}"/>
    <hyperlink ref="AT77" r:id="rId4" display="20260119_RP_GDPR_Rezultat licitatie Ateliere Centrul Regional 1_Iasi.docx" xr:uid="{AE8B489B-D402-4E8F-8D1B-59785B4DA7DB}"/>
    <hyperlink ref="AT72" r:id="rId5" display="20260114_Minută ședință aliniere 5 Eveniment centru regional Concordia Hub EST.docx" xr:uid="{A276B672-D7F0-4C0D-B1BB-A75E5B54C02F}"/>
    <hyperlink ref="AT70" r:id="rId6" display="20260112_RP-inscriere FPBR in GT.docx" xr:uid="{AB490431-53E1-4AF4-AFE4-1BE2A2F8CF51}"/>
    <hyperlink ref="AT62" r:id="rId7" display="20260105_GT-Monitorizare GDPR pe perioada 01.12.2025-31.12.2025.docx" xr:uid="{99EBAE68-B474-4A4B-A7C9-0C0A9170D8C9}"/>
    <hyperlink ref="AT82" r:id="rId8" display="20260123_RP EVENIMENTE BH_GDPR_decembrie 2025.docx" xr:uid="{DA8B9A2D-7DF3-4B3B-9486-C0F33172FD80}"/>
    <hyperlink ref="AT78" r:id="rId9" display="20260120_GDPR_Contractare_ateliere grupuri _centrul regional 1 ( 8).docx" xr:uid="{776C821D-B525-49E0-96BB-2288439E1F25}"/>
    <hyperlink ref="AT87" r:id="rId10" display="20260128_Nota informativa PRE -EV 29.01 _ GDPR.docx" xr:uid="{12D67CEA-55AC-435A-99F4-570D7BC21C8A}"/>
    <hyperlink ref="AV88" r:id="rId11" display="20260129_Check-list GDPR_ ev 29.01.docx" xr:uid="{D4F91B4E-A2F1-429D-A0C5-68D93F7FBCD8}"/>
    <hyperlink ref="AT89" r:id="rId12" display="20260129_Nota informativa PRE -EV 30.01 _ GDPR.docx" xr:uid="{C72BCCE9-B30B-4655-8996-A85DF8CB9032}"/>
    <hyperlink ref="AT79" r:id="rId13" display="https://confederatiaconcordia.sharepoint.com/:w:/s/PEO2024-2028/IQAu0FXXMSdjSK0nyD96L3CbAUI5Q-p0gonhU2_tXhG3L_8?e=qgFPU8" xr:uid="{C01D546A-21BC-44BC-A10B-09B875AFA1F7}"/>
    <hyperlink ref="AT80" r:id="rId14" display="20260121_Minută ședință aliniere GDPR Ateliere centru regional Hub EST.docx" xr:uid="{D02FDCC7-5CDD-4880-894E-326D95488092}"/>
    <hyperlink ref="AT85" r:id="rId15" display="20260126_Minută ședință aliniere 8 Eveniment centru regional Hub EST.docx" xr:uid="{4D165F4B-E8A8-4CE1-9FEC-FA2DCCB43C07}"/>
    <hyperlink ref="AT88" r:id="rId16" display="20260129_B2_RP.docx" xr:uid="{306A9027-7E87-4E00-95D8-95EC5473CE95}"/>
    <hyperlink ref="AT90" r:id="rId17" display="20260130_A2_RP.docx" xr:uid="{9D06D5C8-BC63-4470-9B00-DD20489AECD1}"/>
  </hyperlinks>
  <pageMargins left="0.25" right="0.25" top="0.75" bottom="0.75" header="0.3" footer="0.3"/>
  <pageSetup paperSize="9" scale="31" fitToWidth="0" orientation="portrait" r:id="rId18"/>
  <drawing r:id="rId19"/>
  <tableParts count="1">
    <tablePart r:id="rId20"/>
  </tableParts>
  <extLst>
    <ext xmlns:x14="http://schemas.microsoft.com/office/spreadsheetml/2009/9/main" uri="{CCE6A557-97BC-4b89-ADB6-D9C93CAAB3DF}">
      <x14:dataValidations xmlns:xm="http://schemas.microsoft.com/office/excel/2006/main" count="5">
        <x14:dataValidation type="list" allowBlank="1" showInputMessage="1" showErrorMessage="1" xr:uid="{66BEDE0D-AC21-4157-801D-1F823524F5FE}">
          <x14:formula1>
            <xm:f>Activitati!$A$1</xm:f>
          </x14:formula1>
          <xm:sqref>B60:C64 B77:C82 B85:C91 B67:C74</xm:sqref>
        </x14:dataValidation>
        <x14:dataValidation type="list" allowBlank="1" showInputMessage="1" showErrorMessage="1" xr:uid="{E349C4B4-133D-4ED0-9EBE-05916FFB6670}">
          <x14:formula1>
            <xm:f>Activitati!$D$2:$D$11</xm:f>
          </x14:formula1>
          <xm:sqref>AV75 AZ58:AZ92 AW58:AW92 AU58:AU92</xm:sqref>
        </x14:dataValidation>
        <x14:dataValidation type="list" allowBlank="1" showInputMessage="1" showErrorMessage="1" xr:uid="{E5351456-FC0D-4D2C-8AE7-45832BE32B8A}">
          <x14:formula1>
            <xm:f>Activitati!$B$2:$B$3</xm:f>
          </x14:formula1>
          <xm:sqref>AQ58:AQ92</xm:sqref>
        </x14:dataValidation>
        <x14:dataValidation type="list" allowBlank="1" showInputMessage="1" showErrorMessage="1" xr:uid="{DCEFF0DD-8E49-40D4-A9C6-59B2796820C7}">
          <x14:formula1>
            <xm:f>Activitati!$C$2:$C$3</xm:f>
          </x14:formula1>
          <xm:sqref>AS58:AS92</xm:sqref>
        </x14:dataValidation>
        <x14:dataValidation type="list" allowBlank="1" showInputMessage="1" showErrorMessage="1" xr:uid="{59D07D03-EF06-4E94-A94D-9D70B8EF9428}">
          <x14:formula1>
            <xm:f>Activitati!$A$2</xm:f>
          </x14:formula1>
          <xm:sqref>D58:AJ92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E1E0A-906F-43BA-8875-18092B3C0DBC}">
  <sheetPr>
    <pageSetUpPr fitToPage="1"/>
  </sheetPr>
  <dimension ref="A1:BN169"/>
  <sheetViews>
    <sheetView showGridLines="0" topLeftCell="AD81" zoomScale="46" zoomScaleNormal="55" workbookViewId="0">
      <selection activeCell="AT85" sqref="AT85"/>
    </sheetView>
  </sheetViews>
  <sheetFormatPr defaultColWidth="8.5703125" defaultRowHeight="12.75" customHeight="1"/>
  <cols>
    <col min="1" max="1" width="30.42578125" style="1" customWidth="1"/>
    <col min="2" max="32" width="3.5703125" style="1" customWidth="1"/>
    <col min="33" max="34" width="7.42578125" style="1" customWidth="1"/>
    <col min="35" max="35" width="6.5703125" style="1" customWidth="1"/>
    <col min="36" max="36" width="6.42578125" style="1" customWidth="1"/>
    <col min="37" max="37" width="7.5703125" style="1" customWidth="1"/>
    <col min="38" max="38" width="8.42578125" style="1" customWidth="1"/>
    <col min="39" max="39" width="9.5703125" style="1" customWidth="1"/>
    <col min="40" max="40" width="77.42578125" style="1" customWidth="1"/>
    <col min="41" max="41" width="17.5703125" style="2" customWidth="1"/>
    <col min="42" max="42" width="14.5703125" style="2" customWidth="1"/>
    <col min="43" max="43" width="22.85546875" style="1" customWidth="1"/>
    <col min="44" max="44" width="28.42578125" style="1" customWidth="1"/>
    <col min="45" max="45" width="32.140625" style="1" customWidth="1"/>
    <col min="46" max="46" width="37.42578125" style="18" customWidth="1"/>
    <col min="47" max="47" width="32.5703125" style="1" customWidth="1"/>
    <col min="48" max="48" width="30.42578125" style="18" customWidth="1"/>
    <col min="49" max="52" width="30.42578125" style="1" customWidth="1"/>
    <col min="53" max="53" width="20.5703125" style="1" customWidth="1"/>
    <col min="54" max="54" width="31" style="1" customWidth="1"/>
    <col min="55" max="65" width="8.5703125" style="1"/>
    <col min="66" max="66" width="11" style="1" bestFit="1" customWidth="1"/>
    <col min="67" max="16384" width="8.5703125" style="1"/>
  </cols>
  <sheetData>
    <row r="1" spans="1:39" ht="13.5" thickBot="1">
      <c r="A1" s="19" t="s">
        <v>0</v>
      </c>
      <c r="B1" s="20"/>
    </row>
    <row r="2" spans="1:39" ht="13.5" thickBot="1">
      <c r="A2" s="21" t="s">
        <v>1</v>
      </c>
      <c r="B2" s="22"/>
    </row>
    <row r="3" spans="1:39" ht="13.5" thickBot="1">
      <c r="A3" s="21" t="s">
        <v>2</v>
      </c>
      <c r="B3" s="23" t="s">
        <v>3</v>
      </c>
    </row>
    <row r="4" spans="1:39" ht="13.5" thickBot="1">
      <c r="A4" s="21" t="s">
        <v>4</v>
      </c>
      <c r="B4" s="23" t="s">
        <v>5</v>
      </c>
    </row>
    <row r="5" spans="1:39" ht="13.5" thickBot="1">
      <c r="A5" s="24" t="s">
        <v>6</v>
      </c>
      <c r="B5" s="23" t="s">
        <v>7</v>
      </c>
    </row>
    <row r="6" spans="1:39" ht="13.5" thickBot="1">
      <c r="A6" s="24" t="s">
        <v>8</v>
      </c>
      <c r="B6" s="25">
        <v>8</v>
      </c>
    </row>
    <row r="7" spans="1:39" ht="13.5" thickBot="1">
      <c r="A7" s="26"/>
      <c r="B7" s="27"/>
    </row>
    <row r="8" spans="1:39" ht="14.85" customHeight="1">
      <c r="B8" s="493" t="s">
        <v>9</v>
      </c>
      <c r="C8" s="494"/>
      <c r="D8" s="494"/>
      <c r="E8" s="494"/>
      <c r="F8" s="494"/>
      <c r="G8" s="494"/>
      <c r="H8" s="494"/>
      <c r="I8" s="494"/>
      <c r="J8" s="494"/>
      <c r="K8" s="494"/>
      <c r="L8" s="494"/>
      <c r="M8" s="494"/>
      <c r="N8" s="494"/>
      <c r="O8" s="494"/>
      <c r="P8" s="494"/>
      <c r="Q8" s="494"/>
      <c r="R8" s="494"/>
      <c r="S8" s="494"/>
      <c r="T8" s="494"/>
      <c r="U8" s="494"/>
      <c r="V8" s="494"/>
      <c r="W8" s="494"/>
      <c r="X8" s="494"/>
      <c r="Y8" s="494"/>
      <c r="Z8" s="494"/>
      <c r="AA8" s="494"/>
      <c r="AB8" s="494"/>
      <c r="AC8" s="494"/>
      <c r="AD8" s="494"/>
      <c r="AE8" s="494"/>
      <c r="AF8" s="495"/>
    </row>
    <row r="9" spans="1:39" ht="14.85" customHeight="1">
      <c r="B9" s="496"/>
      <c r="C9" s="497"/>
      <c r="D9" s="497"/>
      <c r="E9" s="497"/>
      <c r="F9" s="497"/>
      <c r="G9" s="497"/>
      <c r="H9" s="497"/>
      <c r="I9" s="497"/>
      <c r="J9" s="497"/>
      <c r="K9" s="497"/>
      <c r="L9" s="497"/>
      <c r="M9" s="497"/>
      <c r="N9" s="497"/>
      <c r="O9" s="497"/>
      <c r="P9" s="497"/>
      <c r="Q9" s="497"/>
      <c r="R9" s="497"/>
      <c r="S9" s="497"/>
      <c r="T9" s="497"/>
      <c r="U9" s="497"/>
      <c r="V9" s="497"/>
      <c r="W9" s="497"/>
      <c r="X9" s="497"/>
      <c r="Y9" s="497"/>
      <c r="Z9" s="497"/>
      <c r="AA9" s="497"/>
      <c r="AB9" s="497"/>
      <c r="AC9" s="497"/>
      <c r="AD9" s="497"/>
      <c r="AE9" s="497"/>
      <c r="AF9" s="498"/>
    </row>
    <row r="10" spans="1:39" ht="15" customHeight="1" thickBot="1">
      <c r="B10" s="499"/>
      <c r="C10" s="500"/>
      <c r="D10" s="500"/>
      <c r="E10" s="500"/>
      <c r="F10" s="500"/>
      <c r="G10" s="500"/>
      <c r="H10" s="500"/>
      <c r="I10" s="500"/>
      <c r="J10" s="500"/>
      <c r="K10" s="500"/>
      <c r="L10" s="500"/>
      <c r="M10" s="500"/>
      <c r="N10" s="500"/>
      <c r="O10" s="500"/>
      <c r="P10" s="500"/>
      <c r="Q10" s="500"/>
      <c r="R10" s="500"/>
      <c r="S10" s="500"/>
      <c r="T10" s="500"/>
      <c r="U10" s="500"/>
      <c r="V10" s="500"/>
      <c r="W10" s="500"/>
      <c r="X10" s="500"/>
      <c r="Y10" s="500"/>
      <c r="Z10" s="500"/>
      <c r="AA10" s="500"/>
      <c r="AB10" s="500"/>
      <c r="AC10" s="500"/>
      <c r="AD10" s="500"/>
      <c r="AE10" s="500"/>
      <c r="AF10" s="501"/>
    </row>
    <row r="11" spans="1:39" ht="15" thickBot="1">
      <c r="B11" s="502" t="s">
        <v>10</v>
      </c>
      <c r="C11" s="502"/>
      <c r="D11" s="502"/>
      <c r="E11" s="502"/>
      <c r="F11" s="502"/>
      <c r="G11" s="502"/>
      <c r="H11" s="502"/>
      <c r="I11" s="502"/>
      <c r="J11" s="502"/>
      <c r="K11" s="502"/>
      <c r="L11" s="502"/>
      <c r="M11" s="502"/>
      <c r="N11" s="502"/>
      <c r="O11" s="502"/>
      <c r="P11" s="502"/>
      <c r="Q11" s="502"/>
      <c r="R11" s="502"/>
      <c r="S11" s="502"/>
      <c r="T11" s="502"/>
      <c r="U11" s="502"/>
      <c r="V11" s="502"/>
      <c r="W11" s="502"/>
      <c r="X11" s="502"/>
      <c r="Y11" s="502"/>
      <c r="Z11" s="502"/>
      <c r="AA11" s="502"/>
      <c r="AB11" s="502"/>
      <c r="AC11" s="502"/>
      <c r="AD11" s="502"/>
      <c r="AE11" s="502"/>
      <c r="AF11" s="502"/>
      <c r="AG11" s="28"/>
      <c r="AH11" s="29"/>
      <c r="AI11" s="28"/>
      <c r="AJ11" s="29"/>
      <c r="AK11" s="28"/>
      <c r="AL11" s="29"/>
      <c r="AM11" s="28"/>
    </row>
    <row r="12" spans="1:39" ht="17.25" customHeight="1" thickBot="1">
      <c r="A12" s="503" t="s">
        <v>125</v>
      </c>
      <c r="B12" s="504"/>
      <c r="C12" s="504"/>
      <c r="D12" s="504"/>
      <c r="E12" s="504"/>
      <c r="F12" s="504"/>
      <c r="G12" s="504"/>
      <c r="H12" s="504"/>
      <c r="I12" s="504"/>
      <c r="J12" s="504"/>
      <c r="K12" s="504"/>
      <c r="L12" s="504"/>
      <c r="M12" s="504"/>
      <c r="N12" s="504"/>
      <c r="O12" s="504"/>
      <c r="P12" s="504"/>
      <c r="Q12" s="504"/>
      <c r="R12" s="504"/>
      <c r="S12" s="504"/>
      <c r="T12" s="504"/>
      <c r="U12" s="504"/>
      <c r="V12" s="504"/>
      <c r="W12" s="504"/>
      <c r="X12" s="504"/>
      <c r="Y12" s="504"/>
      <c r="Z12" s="504"/>
      <c r="AA12" s="504"/>
      <c r="AB12" s="504"/>
      <c r="AC12" s="504"/>
      <c r="AD12" s="504"/>
      <c r="AE12" s="504"/>
      <c r="AF12" s="504"/>
      <c r="AG12" s="490" t="s">
        <v>12</v>
      </c>
      <c r="AH12" s="490" t="s">
        <v>13</v>
      </c>
      <c r="AI12" s="490" t="s">
        <v>14</v>
      </c>
      <c r="AJ12" s="490" t="s">
        <v>15</v>
      </c>
      <c r="AK12" s="490" t="s">
        <v>16</v>
      </c>
      <c r="AL12" s="490" t="s">
        <v>17</v>
      </c>
      <c r="AM12" s="37"/>
    </row>
    <row r="13" spans="1:39" ht="17.25" customHeight="1" thickBot="1">
      <c r="A13" s="30" t="s">
        <v>18</v>
      </c>
      <c r="B13" s="175">
        <v>1</v>
      </c>
      <c r="C13" s="108">
        <v>2</v>
      </c>
      <c r="D13" s="108">
        <v>3</v>
      </c>
      <c r="E13" s="108">
        <v>4</v>
      </c>
      <c r="F13" s="108">
        <v>5</v>
      </c>
      <c r="G13" s="108">
        <v>6</v>
      </c>
      <c r="H13" s="31">
        <v>7</v>
      </c>
      <c r="I13" s="31">
        <v>8</v>
      </c>
      <c r="J13" s="108">
        <v>9</v>
      </c>
      <c r="K13" s="108">
        <v>10</v>
      </c>
      <c r="L13" s="108">
        <v>11</v>
      </c>
      <c r="M13" s="108">
        <v>12</v>
      </c>
      <c r="N13" s="108">
        <v>13</v>
      </c>
      <c r="O13" s="31">
        <v>14</v>
      </c>
      <c r="P13" s="31">
        <v>15</v>
      </c>
      <c r="Q13" s="108">
        <v>16</v>
      </c>
      <c r="R13" s="108">
        <v>17</v>
      </c>
      <c r="S13" s="108">
        <v>18</v>
      </c>
      <c r="T13" s="108">
        <v>19</v>
      </c>
      <c r="U13" s="108">
        <v>20</v>
      </c>
      <c r="V13" s="31">
        <v>21</v>
      </c>
      <c r="W13" s="31">
        <v>22</v>
      </c>
      <c r="X13" s="108">
        <v>23</v>
      </c>
      <c r="Y13" s="108">
        <v>24</v>
      </c>
      <c r="Z13" s="108">
        <v>25</v>
      </c>
      <c r="AA13" s="108">
        <v>26</v>
      </c>
      <c r="AB13" s="108">
        <v>27</v>
      </c>
      <c r="AC13" s="31">
        <v>28</v>
      </c>
      <c r="AD13" s="169"/>
      <c r="AE13" s="169"/>
      <c r="AF13" s="170"/>
      <c r="AG13" s="491"/>
      <c r="AH13" s="505"/>
      <c r="AI13" s="491"/>
      <c r="AJ13" s="491"/>
      <c r="AK13" s="491"/>
      <c r="AL13" s="491"/>
      <c r="AM13" s="38"/>
    </row>
    <row r="14" spans="1:39" ht="17.25" customHeight="1" thickBot="1">
      <c r="A14" s="32" t="s">
        <v>19</v>
      </c>
      <c r="B14" s="33" t="s">
        <v>23</v>
      </c>
      <c r="C14" s="34" t="s">
        <v>24</v>
      </c>
      <c r="D14" s="34" t="s">
        <v>25</v>
      </c>
      <c r="E14" s="34" t="s">
        <v>26</v>
      </c>
      <c r="F14" s="34" t="s">
        <v>20</v>
      </c>
      <c r="G14" s="34" t="s">
        <v>21</v>
      </c>
      <c r="H14" s="33" t="s">
        <v>22</v>
      </c>
      <c r="I14" s="33" t="s">
        <v>23</v>
      </c>
      <c r="J14" s="34" t="s">
        <v>24</v>
      </c>
      <c r="K14" s="34" t="s">
        <v>25</v>
      </c>
      <c r="L14" s="34" t="s">
        <v>26</v>
      </c>
      <c r="M14" s="34" t="s">
        <v>20</v>
      </c>
      <c r="N14" s="34" t="s">
        <v>21</v>
      </c>
      <c r="O14" s="33" t="s">
        <v>22</v>
      </c>
      <c r="P14" s="33" t="s">
        <v>23</v>
      </c>
      <c r="Q14" s="34" t="s">
        <v>24</v>
      </c>
      <c r="R14" s="34" t="s">
        <v>25</v>
      </c>
      <c r="S14" s="34" t="s">
        <v>26</v>
      </c>
      <c r="T14" s="34" t="s">
        <v>20</v>
      </c>
      <c r="U14" s="34" t="s">
        <v>21</v>
      </c>
      <c r="V14" s="33" t="s">
        <v>22</v>
      </c>
      <c r="W14" s="33" t="s">
        <v>23</v>
      </c>
      <c r="X14" s="34" t="s">
        <v>24</v>
      </c>
      <c r="Y14" s="34" t="s">
        <v>25</v>
      </c>
      <c r="Z14" s="34" t="s">
        <v>26</v>
      </c>
      <c r="AA14" s="34" t="s">
        <v>20</v>
      </c>
      <c r="AB14" s="34" t="s">
        <v>21</v>
      </c>
      <c r="AC14" s="33" t="s">
        <v>22</v>
      </c>
      <c r="AD14" s="171"/>
      <c r="AE14" s="171"/>
      <c r="AF14" s="171"/>
      <c r="AG14" s="491"/>
      <c r="AH14" s="506"/>
      <c r="AI14" s="491"/>
      <c r="AJ14" s="491"/>
      <c r="AK14" s="491"/>
      <c r="AL14" s="491"/>
      <c r="AM14" s="38"/>
    </row>
    <row r="15" spans="1:39" ht="17.25" customHeight="1">
      <c r="A15" s="35" t="s">
        <v>27</v>
      </c>
      <c r="B15" s="176"/>
      <c r="C15" s="109">
        <f t="shared" ref="C15:AB15" si="0">8-SUM(C16:C16)</f>
        <v>6</v>
      </c>
      <c r="D15" s="109">
        <f t="shared" si="0"/>
        <v>3</v>
      </c>
      <c r="E15" s="109">
        <f t="shared" si="0"/>
        <v>5</v>
      </c>
      <c r="F15" s="109">
        <f t="shared" si="0"/>
        <v>3</v>
      </c>
      <c r="G15" s="109">
        <f t="shared" si="0"/>
        <v>8</v>
      </c>
      <c r="H15" s="51"/>
      <c r="I15" s="51"/>
      <c r="J15" s="109">
        <f t="shared" si="0"/>
        <v>3</v>
      </c>
      <c r="K15" s="109">
        <f t="shared" si="0"/>
        <v>8</v>
      </c>
      <c r="L15" s="109">
        <f t="shared" si="0"/>
        <v>2</v>
      </c>
      <c r="M15" s="109">
        <f t="shared" ref="M15" si="1">8-SUM(M16:M16)</f>
        <v>8</v>
      </c>
      <c r="N15" s="109">
        <f t="shared" si="0"/>
        <v>8</v>
      </c>
      <c r="O15" s="51"/>
      <c r="P15" s="51"/>
      <c r="Q15" s="109">
        <f t="shared" si="0"/>
        <v>2</v>
      </c>
      <c r="R15" s="109">
        <f t="shared" si="0"/>
        <v>0</v>
      </c>
      <c r="S15" s="109">
        <f t="shared" si="0"/>
        <v>6</v>
      </c>
      <c r="T15" s="109">
        <f t="shared" si="0"/>
        <v>3</v>
      </c>
      <c r="U15" s="109">
        <f t="shared" si="0"/>
        <v>8</v>
      </c>
      <c r="V15" s="51"/>
      <c r="W15" s="51"/>
      <c r="X15" s="109">
        <f t="shared" si="0"/>
        <v>0</v>
      </c>
      <c r="Y15" s="109">
        <f t="shared" si="0"/>
        <v>3</v>
      </c>
      <c r="Z15" s="109">
        <f t="shared" si="0"/>
        <v>4</v>
      </c>
      <c r="AA15" s="109">
        <f t="shared" si="0"/>
        <v>0</v>
      </c>
      <c r="AB15" s="109">
        <f t="shared" si="0"/>
        <v>0</v>
      </c>
      <c r="AC15" s="51"/>
      <c r="AD15" s="172"/>
      <c r="AE15" s="172"/>
      <c r="AF15" s="172"/>
      <c r="AG15" s="52">
        <f>SUM(B15:AF15)+COUNTIF(B15:AF15, "DE")*4</f>
        <v>80</v>
      </c>
      <c r="AH15" s="53">
        <f>AG15/8</f>
        <v>10</v>
      </c>
      <c r="AI15" s="53">
        <f>COUNTIF(B15:AF15, "CO")*4</f>
        <v>0</v>
      </c>
      <c r="AJ15" s="53">
        <f>AI15/8</f>
        <v>0</v>
      </c>
      <c r="AK15" s="53">
        <f>COUNTIF(B15:AF15, "CM")*8</f>
        <v>0</v>
      </c>
      <c r="AL15" s="54">
        <f>AK15/8</f>
        <v>0</v>
      </c>
      <c r="AM15" s="39"/>
    </row>
    <row r="16" spans="1:39" ht="29.85" customHeight="1" thickBot="1">
      <c r="A16" s="35" t="s">
        <v>28</v>
      </c>
      <c r="B16" s="177"/>
      <c r="C16" s="110">
        <f>SUMIFS($AL$58:$AL$88,$A$58:$A$88,"="&amp;DATE(2026,2,C13))</f>
        <v>2</v>
      </c>
      <c r="D16" s="110">
        <f>SUMIFS($AL$58:$AL$88,$A$58:$A$88,"="&amp;DATE(2026,2,D13))</f>
        <v>5</v>
      </c>
      <c r="E16" s="110">
        <f>SUMIFS($AL$58:$AL$88,$A$58:$A$88,"="&amp;DATE(2026,2,E13))</f>
        <v>3</v>
      </c>
      <c r="F16" s="110">
        <f>SUMIFS($AL$58:$AL$88,$A$58:$A$88,"="&amp;DATE(2026,2,F13))</f>
        <v>5</v>
      </c>
      <c r="G16" s="110">
        <f>SUMIFS($AL$58:$AL$88,$A$58:$A$88,"="&amp;DATE(2026,2,G13))</f>
        <v>0</v>
      </c>
      <c r="H16" s="55"/>
      <c r="I16" s="55"/>
      <c r="J16" s="110">
        <f>SUMIFS($AL$58:$AL$88,$A$58:$A$88,"="&amp;DATE(2026,2,J13))</f>
        <v>5</v>
      </c>
      <c r="K16" s="110">
        <f>SUMIFS($AL$58:$AL$88,$A$58:$A$88,"="&amp;DATE(2026,2,K13))</f>
        <v>0</v>
      </c>
      <c r="L16" s="110">
        <f>SUMIFS($AL$58:$AL$88,$A$58:$A$88,"="&amp;DATE(2026,2,L13))</f>
        <v>6</v>
      </c>
      <c r="M16" s="110">
        <f>SUMIFS($AL$58:$AL$88,$A$58:$A$88,"="&amp;DATE(2026,2,M13))</f>
        <v>0</v>
      </c>
      <c r="N16" s="110">
        <f>SUMIFS($AL$58:$AL$88,$A$58:$A$88,"="&amp;DATE(2026,2,N13))</f>
        <v>0</v>
      </c>
      <c r="O16" s="55"/>
      <c r="P16" s="55"/>
      <c r="Q16" s="110">
        <f>SUMIFS($AL$58:$AL$88,$A$58:$A$88,"="&amp;DATE(2026,2,Q13))</f>
        <v>6</v>
      </c>
      <c r="R16" s="110">
        <f>SUMIFS($AL$58:$AL$88,$A$58:$A$88,"="&amp;DATE(2026,2,R13))</f>
        <v>8</v>
      </c>
      <c r="S16" s="110">
        <f>SUMIFS($AL$58:$AL$88,$A$58:$A$88,"="&amp;DATE(2026,2,S13))</f>
        <v>2</v>
      </c>
      <c r="T16" s="110">
        <f>SUMIFS($AL$58:$AL$88,$A$58:$A$88,"="&amp;DATE(2026,2,T13))</f>
        <v>5</v>
      </c>
      <c r="U16" s="110">
        <f>SUMIFS($AL$58:$AL$88,$A$58:$A$88,"="&amp;DATE(2026,2,U13))</f>
        <v>0</v>
      </c>
      <c r="V16" s="55"/>
      <c r="W16" s="55"/>
      <c r="X16" s="110">
        <f>SUMIFS($AL$58:$AL$88,$A$58:$A$88,"="&amp;DATE(2026,2,X13))</f>
        <v>8</v>
      </c>
      <c r="Y16" s="110">
        <f>SUMIFS($AL$58:$AL$88,$A$58:$A$88,"="&amp;DATE(2026,2,Y13))</f>
        <v>5</v>
      </c>
      <c r="Z16" s="110">
        <f>SUMIFS($AL$58:$AL$88,$A$58:$A$88,"="&amp;DATE(2026,2,Z13))</f>
        <v>4</v>
      </c>
      <c r="AA16" s="110">
        <f>SUMIFS($AL$58:$AL$88,$A$58:$A$88,"="&amp;DATE(2026,2,AA13))</f>
        <v>8</v>
      </c>
      <c r="AB16" s="110">
        <f>SUMIFS($AL$58:$AL$88,$A$58:$A$88,"="&amp;DATE(2026,2,AB13))</f>
        <v>8</v>
      </c>
      <c r="AC16" s="55"/>
      <c r="AD16" s="173"/>
      <c r="AE16" s="173"/>
      <c r="AF16" s="173"/>
      <c r="AG16" s="56">
        <f>SUM(B16:AF16)+COUNTIF(B16:AF16, "DE")*4</f>
        <v>80</v>
      </c>
      <c r="AH16" s="57">
        <f>AG16/8</f>
        <v>10</v>
      </c>
      <c r="AI16" s="57">
        <f>COUNTIF(B16:AF16, "CO")*4</f>
        <v>0</v>
      </c>
      <c r="AJ16" s="57">
        <f>AI16/8</f>
        <v>0</v>
      </c>
      <c r="AK16" s="57">
        <f>COUNTIF(B16:AF16, "CM")*8</f>
        <v>0</v>
      </c>
      <c r="AL16" s="58">
        <f>AK16/8</f>
        <v>0</v>
      </c>
      <c r="AM16" s="39"/>
    </row>
    <row r="17" spans="1:39" ht="17.25" customHeight="1" thickBot="1">
      <c r="A17" s="36" t="s">
        <v>29</v>
      </c>
      <c r="B17" s="178"/>
      <c r="C17" s="59">
        <f t="shared" ref="C17:AB17" si="2">SUM(C15:C16)</f>
        <v>8</v>
      </c>
      <c r="D17" s="59">
        <f t="shared" si="2"/>
        <v>8</v>
      </c>
      <c r="E17" s="59">
        <f t="shared" si="2"/>
        <v>8</v>
      </c>
      <c r="F17" s="59">
        <f t="shared" ref="F17" si="3">SUM(F15:F16)</f>
        <v>8</v>
      </c>
      <c r="G17" s="59">
        <f t="shared" si="2"/>
        <v>8</v>
      </c>
      <c r="H17" s="60"/>
      <c r="I17" s="60"/>
      <c r="J17" s="59">
        <f t="shared" si="2"/>
        <v>8</v>
      </c>
      <c r="K17" s="59">
        <f t="shared" si="2"/>
        <v>8</v>
      </c>
      <c r="L17" s="59">
        <f t="shared" si="2"/>
        <v>8</v>
      </c>
      <c r="M17" s="59">
        <f t="shared" si="2"/>
        <v>8</v>
      </c>
      <c r="N17" s="59">
        <f t="shared" si="2"/>
        <v>8</v>
      </c>
      <c r="O17" s="60"/>
      <c r="P17" s="60"/>
      <c r="Q17" s="59">
        <f t="shared" si="2"/>
        <v>8</v>
      </c>
      <c r="R17" s="59">
        <f t="shared" si="2"/>
        <v>8</v>
      </c>
      <c r="S17" s="59">
        <f t="shared" si="2"/>
        <v>8</v>
      </c>
      <c r="T17" s="59">
        <f t="shared" si="2"/>
        <v>8</v>
      </c>
      <c r="U17" s="59">
        <f t="shared" si="2"/>
        <v>8</v>
      </c>
      <c r="V17" s="60"/>
      <c r="W17" s="60"/>
      <c r="X17" s="59">
        <f t="shared" si="2"/>
        <v>8</v>
      </c>
      <c r="Y17" s="59">
        <f t="shared" si="2"/>
        <v>8</v>
      </c>
      <c r="Z17" s="59">
        <f t="shared" si="2"/>
        <v>8</v>
      </c>
      <c r="AA17" s="59">
        <f t="shared" si="2"/>
        <v>8</v>
      </c>
      <c r="AB17" s="59">
        <f t="shared" si="2"/>
        <v>8</v>
      </c>
      <c r="AC17" s="60"/>
      <c r="AD17" s="174"/>
      <c r="AE17" s="174"/>
      <c r="AF17" s="174"/>
      <c r="AG17" s="61">
        <f t="shared" ref="AG17:AL17" si="4">SUM(AG15:AG16)</f>
        <v>160</v>
      </c>
      <c r="AH17" s="62">
        <f t="shared" si="4"/>
        <v>20</v>
      </c>
      <c r="AI17" s="62">
        <f t="shared" si="4"/>
        <v>0</v>
      </c>
      <c r="AJ17" s="62">
        <f t="shared" si="4"/>
        <v>0</v>
      </c>
      <c r="AK17" s="62">
        <f t="shared" si="4"/>
        <v>0</v>
      </c>
      <c r="AL17" s="63">
        <f t="shared" si="4"/>
        <v>0</v>
      </c>
      <c r="AM17" s="39"/>
    </row>
    <row r="18" spans="1:39" ht="12.95"/>
    <row r="19" spans="1:39" ht="12.95">
      <c r="A19" s="2"/>
      <c r="I19" s="492" t="s">
        <v>30</v>
      </c>
      <c r="J19" s="492"/>
      <c r="K19" s="492"/>
      <c r="L19" s="492"/>
      <c r="M19" s="492"/>
      <c r="N19" s="492"/>
      <c r="O19" s="492"/>
      <c r="P19" s="483" t="s">
        <v>31</v>
      </c>
      <c r="Q19" s="483"/>
      <c r="R19" s="483"/>
      <c r="S19" s="483"/>
      <c r="T19" s="483"/>
      <c r="U19" s="483"/>
      <c r="V19" s="483"/>
    </row>
    <row r="20" spans="1:39" ht="12.95"/>
    <row r="21" spans="1:39" ht="12.95">
      <c r="I21" s="482" t="s">
        <v>32</v>
      </c>
      <c r="J21" s="482"/>
      <c r="K21" s="482"/>
      <c r="L21" s="482"/>
      <c r="M21" s="482"/>
      <c r="N21" s="482"/>
      <c r="O21" s="482"/>
      <c r="P21" s="483"/>
      <c r="Q21" s="483"/>
      <c r="R21" s="483"/>
      <c r="S21" s="483"/>
      <c r="T21" s="483"/>
      <c r="U21" s="483"/>
      <c r="V21" s="483"/>
    </row>
    <row r="22" spans="1:39" ht="12.95">
      <c r="I22" s="2"/>
      <c r="J22" s="2"/>
      <c r="K22" s="2"/>
      <c r="L22" s="2"/>
      <c r="M22" s="2"/>
      <c r="N22" s="2"/>
      <c r="O22" s="2"/>
    </row>
    <row r="23" spans="1:39" ht="12.95">
      <c r="I23" s="2"/>
      <c r="J23" s="2"/>
      <c r="K23" s="2"/>
      <c r="L23" s="2"/>
      <c r="M23" s="2"/>
      <c r="N23" s="2"/>
      <c r="O23" s="2"/>
    </row>
    <row r="24" spans="1:39" ht="12.95">
      <c r="I24" s="492" t="s">
        <v>33</v>
      </c>
      <c r="J24" s="492"/>
      <c r="K24" s="492"/>
      <c r="L24" s="492"/>
      <c r="M24" s="492"/>
      <c r="N24" s="492"/>
      <c r="O24" s="492"/>
      <c r="P24" s="483" t="s">
        <v>31</v>
      </c>
      <c r="Q24" s="483"/>
      <c r="R24" s="483"/>
      <c r="S24" s="483"/>
      <c r="T24" s="483"/>
      <c r="U24" s="483"/>
      <c r="V24" s="483"/>
    </row>
    <row r="25" spans="1:39" ht="12.95">
      <c r="I25" s="482" t="s">
        <v>34</v>
      </c>
      <c r="J25" s="482"/>
      <c r="K25" s="482"/>
      <c r="L25" s="482"/>
      <c r="M25" s="482"/>
      <c r="N25" s="482"/>
      <c r="O25" s="482"/>
      <c r="P25" s="483"/>
      <c r="Q25" s="483"/>
      <c r="R25" s="483"/>
      <c r="S25" s="483"/>
      <c r="T25" s="483"/>
      <c r="U25" s="483"/>
      <c r="V25" s="483"/>
    </row>
    <row r="26" spans="1:39" ht="12.95">
      <c r="I26" s="482" t="s">
        <v>35</v>
      </c>
      <c r="J26" s="482"/>
      <c r="K26" s="482"/>
      <c r="L26" s="482"/>
      <c r="M26" s="482"/>
      <c r="N26" s="482"/>
      <c r="O26" s="482"/>
      <c r="P26" s="483"/>
      <c r="Q26" s="483"/>
      <c r="R26" s="483"/>
      <c r="S26" s="483"/>
      <c r="T26" s="483"/>
      <c r="U26" s="483"/>
      <c r="V26" s="483"/>
    </row>
    <row r="27" spans="1:39" ht="12.95">
      <c r="I27" s="482" t="s">
        <v>32</v>
      </c>
      <c r="J27" s="482"/>
      <c r="K27" s="482"/>
      <c r="L27" s="482"/>
      <c r="M27" s="482"/>
      <c r="N27" s="482"/>
      <c r="O27" s="482"/>
      <c r="P27" s="483"/>
      <c r="Q27" s="483"/>
      <c r="R27" s="483"/>
      <c r="S27" s="483"/>
      <c r="T27" s="483"/>
      <c r="U27" s="483"/>
      <c r="V27" s="483"/>
    </row>
    <row r="28" spans="1:39" ht="12.95">
      <c r="I28" s="4"/>
      <c r="J28" s="4"/>
      <c r="K28" s="4"/>
      <c r="L28" s="4"/>
      <c r="M28" s="4"/>
      <c r="N28" s="4"/>
      <c r="O28" s="4"/>
      <c r="P28" s="2"/>
      <c r="Q28" s="2"/>
      <c r="R28" s="2"/>
      <c r="S28" s="2"/>
      <c r="T28" s="2"/>
      <c r="U28" s="2"/>
      <c r="V28" s="2"/>
      <c r="AC28" s="1" t="s">
        <v>36</v>
      </c>
    </row>
    <row r="29" spans="1:39" ht="12.95">
      <c r="I29" s="4"/>
      <c r="J29" s="4"/>
      <c r="K29" s="4"/>
      <c r="L29" s="4"/>
      <c r="M29" s="4"/>
      <c r="N29" s="4"/>
      <c r="O29" s="4"/>
      <c r="P29" s="2"/>
      <c r="Q29" s="2"/>
      <c r="R29" s="2"/>
      <c r="S29" s="2"/>
      <c r="T29" s="2"/>
      <c r="U29" s="2"/>
      <c r="V29" s="2"/>
    </row>
    <row r="30" spans="1:39" ht="12.95">
      <c r="I30" s="4"/>
      <c r="J30" s="4"/>
      <c r="K30" s="4"/>
      <c r="L30" s="4"/>
      <c r="M30" s="4"/>
      <c r="N30" s="4"/>
      <c r="O30" s="4"/>
      <c r="P30" s="2"/>
      <c r="Q30" s="2"/>
      <c r="R30" s="2"/>
      <c r="S30" s="2"/>
      <c r="T30" s="2"/>
      <c r="U30" s="2"/>
      <c r="V30" s="2"/>
    </row>
    <row r="31" spans="1:39" ht="12.95">
      <c r="I31" s="4"/>
      <c r="J31" s="4"/>
      <c r="K31" s="4"/>
      <c r="L31" s="4"/>
      <c r="M31" s="4"/>
      <c r="N31" s="4"/>
      <c r="O31" s="4"/>
      <c r="P31" s="2"/>
      <c r="Q31" s="2"/>
      <c r="R31" s="2"/>
      <c r="S31" s="2"/>
      <c r="T31" s="2"/>
      <c r="U31" s="2"/>
      <c r="V31" s="2"/>
    </row>
    <row r="32" spans="1:39" ht="12.95">
      <c r="I32" s="4"/>
      <c r="J32" s="4"/>
      <c r="K32" s="4"/>
      <c r="L32" s="4"/>
      <c r="M32" s="4"/>
      <c r="N32" s="4"/>
      <c r="O32" s="4"/>
      <c r="P32" s="2"/>
      <c r="Q32" s="2"/>
      <c r="R32" s="2"/>
      <c r="S32" s="2"/>
      <c r="T32" s="2"/>
      <c r="U32" s="2"/>
      <c r="V32" s="2"/>
    </row>
    <row r="33" spans="1:39" ht="12.95">
      <c r="I33" s="4"/>
      <c r="J33" s="4"/>
      <c r="K33" s="4"/>
      <c r="L33" s="4"/>
      <c r="M33" s="4"/>
      <c r="N33" s="4"/>
      <c r="O33" s="4"/>
      <c r="P33" s="2"/>
      <c r="Q33" s="2"/>
      <c r="R33" s="2"/>
      <c r="S33" s="2"/>
      <c r="T33" s="2"/>
      <c r="U33" s="2"/>
      <c r="V33" s="2"/>
    </row>
    <row r="34" spans="1:39" ht="12.95">
      <c r="I34" s="4"/>
      <c r="J34" s="4"/>
      <c r="K34" s="4"/>
      <c r="L34" s="4"/>
      <c r="M34" s="4"/>
      <c r="N34" s="4"/>
      <c r="O34" s="4"/>
      <c r="P34" s="2"/>
      <c r="Q34" s="2"/>
      <c r="R34" s="2"/>
      <c r="S34" s="2"/>
      <c r="T34" s="2"/>
      <c r="U34" s="2"/>
      <c r="V34" s="2"/>
    </row>
    <row r="35" spans="1:39" ht="12.95">
      <c r="I35" s="4"/>
      <c r="J35" s="4"/>
      <c r="K35" s="4"/>
      <c r="L35" s="4"/>
      <c r="M35" s="4"/>
      <c r="N35" s="4"/>
      <c r="O35" s="4"/>
      <c r="P35" s="2"/>
      <c r="Q35" s="2"/>
      <c r="R35" s="2"/>
      <c r="S35" s="2"/>
      <c r="T35" s="2"/>
      <c r="U35" s="2"/>
      <c r="V35" s="2"/>
    </row>
    <row r="36" spans="1:39" ht="12.95">
      <c r="I36" s="4"/>
      <c r="J36" s="4"/>
      <c r="K36" s="4"/>
      <c r="L36" s="4"/>
      <c r="M36" s="4"/>
      <c r="N36" s="4"/>
      <c r="O36" s="4"/>
      <c r="P36" s="2"/>
      <c r="Q36" s="2"/>
      <c r="R36" s="2"/>
      <c r="S36" s="2"/>
      <c r="T36" s="2"/>
      <c r="U36" s="2"/>
      <c r="V36" s="2"/>
    </row>
    <row r="37" spans="1:39" ht="12.95">
      <c r="I37" s="4"/>
      <c r="J37" s="4"/>
      <c r="K37" s="4"/>
      <c r="L37" s="4"/>
      <c r="M37" s="4"/>
      <c r="N37" s="4"/>
      <c r="O37" s="4"/>
      <c r="P37" s="2"/>
      <c r="Q37" s="2"/>
      <c r="R37" s="2"/>
      <c r="S37" s="2"/>
      <c r="T37" s="2"/>
      <c r="U37" s="2"/>
      <c r="V37" s="2"/>
    </row>
    <row r="38" spans="1:39" ht="12.95">
      <c r="I38" s="4"/>
      <c r="J38" s="4"/>
      <c r="K38" s="4"/>
      <c r="L38" s="4"/>
      <c r="M38" s="4"/>
      <c r="N38" s="4"/>
      <c r="O38" s="4"/>
      <c r="P38" s="2"/>
      <c r="Q38" s="2"/>
      <c r="R38" s="2"/>
      <c r="S38" s="2"/>
      <c r="T38" s="2"/>
      <c r="U38" s="2"/>
      <c r="V38" s="2"/>
    </row>
    <row r="39" spans="1:39" ht="12.95">
      <c r="I39" s="4"/>
      <c r="J39" s="4"/>
      <c r="K39" s="4"/>
      <c r="L39" s="4"/>
      <c r="M39" s="4"/>
      <c r="N39" s="4"/>
      <c r="O39" s="4"/>
      <c r="P39" s="2"/>
      <c r="Q39" s="2"/>
      <c r="R39" s="2"/>
      <c r="S39" s="2"/>
      <c r="T39" s="2"/>
      <c r="U39" s="2"/>
      <c r="V39" s="2"/>
    </row>
    <row r="40" spans="1:39" ht="12.95">
      <c r="I40" s="4"/>
      <c r="J40" s="4"/>
      <c r="K40" s="4"/>
      <c r="L40" s="4"/>
      <c r="M40" s="4"/>
      <c r="N40" s="4"/>
      <c r="O40" s="4"/>
      <c r="P40" s="2"/>
      <c r="Q40" s="2"/>
      <c r="R40" s="2"/>
      <c r="S40" s="2"/>
      <c r="T40" s="2"/>
      <c r="U40" s="2"/>
      <c r="V40" s="2"/>
    </row>
    <row r="41" spans="1:39" ht="12.95">
      <c r="I41" s="4"/>
      <c r="J41" s="4"/>
      <c r="K41" s="4"/>
      <c r="L41" s="4"/>
      <c r="M41" s="4"/>
      <c r="N41" s="4"/>
      <c r="O41" s="4"/>
      <c r="P41" s="2"/>
      <c r="Q41" s="2"/>
      <c r="R41" s="2"/>
      <c r="S41" s="2"/>
      <c r="T41" s="2"/>
      <c r="U41" s="2"/>
      <c r="V41" s="2"/>
    </row>
    <row r="42" spans="1:39" ht="12.95">
      <c r="I42" s="4"/>
      <c r="J42" s="4"/>
      <c r="K42" s="4"/>
      <c r="L42" s="4"/>
      <c r="M42" s="4"/>
      <c r="N42" s="4"/>
      <c r="O42" s="4"/>
      <c r="P42" s="2"/>
      <c r="Q42" s="2"/>
      <c r="R42" s="2"/>
      <c r="S42" s="2"/>
      <c r="T42" s="2"/>
      <c r="U42" s="2"/>
      <c r="V42" s="2"/>
    </row>
    <row r="43" spans="1:39" ht="12.95">
      <c r="I43" s="4"/>
      <c r="J43" s="4"/>
      <c r="K43" s="4"/>
      <c r="L43" s="4"/>
      <c r="M43" s="4"/>
      <c r="N43" s="4"/>
      <c r="O43" s="4"/>
      <c r="P43" s="2"/>
      <c r="Q43" s="2"/>
      <c r="R43" s="2"/>
      <c r="S43" s="2"/>
      <c r="T43" s="2"/>
      <c r="U43" s="2"/>
      <c r="V43" s="2"/>
    </row>
    <row r="44" spans="1:39" ht="12.95">
      <c r="I44" s="4"/>
      <c r="J44" s="4"/>
      <c r="K44" s="4"/>
      <c r="L44" s="4"/>
      <c r="M44" s="4"/>
      <c r="N44" s="4"/>
      <c r="O44" s="4"/>
      <c r="P44" s="2"/>
      <c r="Q44" s="2"/>
      <c r="R44" s="2"/>
      <c r="S44" s="2"/>
      <c r="T44" s="2"/>
      <c r="U44" s="2"/>
      <c r="V44" s="2"/>
    </row>
    <row r="45" spans="1:39" ht="13.5" thickBot="1">
      <c r="I45" s="4"/>
      <c r="J45" s="4"/>
      <c r="K45" s="4"/>
      <c r="L45" s="4"/>
      <c r="M45" s="4"/>
      <c r="N45" s="4"/>
      <c r="O45" s="4"/>
      <c r="P45" s="2"/>
      <c r="Q45" s="2"/>
      <c r="R45" s="2"/>
      <c r="S45" s="2"/>
      <c r="T45" s="2"/>
      <c r="U45" s="2"/>
      <c r="V45" s="2"/>
    </row>
    <row r="46" spans="1:39" ht="12.95">
      <c r="A46" s="218"/>
      <c r="B46" s="219"/>
      <c r="C46" s="219"/>
      <c r="D46" s="219"/>
      <c r="E46" s="219"/>
      <c r="F46" s="219"/>
      <c r="G46" s="219"/>
      <c r="H46" s="219"/>
      <c r="I46" s="220"/>
      <c r="J46" s="220"/>
      <c r="K46" s="220"/>
      <c r="L46" s="220"/>
      <c r="M46" s="220"/>
      <c r="N46" s="220"/>
      <c r="O46" s="220"/>
      <c r="P46" s="221"/>
      <c r="Q46" s="221"/>
      <c r="R46" s="221"/>
      <c r="S46" s="221"/>
      <c r="T46" s="221"/>
      <c r="U46" s="221"/>
      <c r="V46" s="221"/>
      <c r="W46" s="219"/>
      <c r="X46" s="219"/>
      <c r="Y46" s="219"/>
      <c r="Z46" s="219"/>
      <c r="AA46" s="219"/>
      <c r="AB46" s="219"/>
      <c r="AC46" s="219"/>
      <c r="AD46" s="219"/>
      <c r="AE46" s="219"/>
      <c r="AF46" s="219"/>
      <c r="AG46" s="219"/>
      <c r="AH46" s="219"/>
      <c r="AI46" s="219"/>
      <c r="AJ46" s="219"/>
      <c r="AK46" s="219"/>
      <c r="AL46" s="219"/>
      <c r="AM46" s="222"/>
    </row>
    <row r="47" spans="1:39" ht="12.95">
      <c r="A47" s="223"/>
      <c r="B47" s="224"/>
      <c r="C47" s="224"/>
      <c r="D47" s="224"/>
      <c r="E47" s="224"/>
      <c r="F47" s="224"/>
      <c r="G47" s="224"/>
      <c r="H47" s="224"/>
      <c r="I47" s="225"/>
      <c r="J47" s="225"/>
      <c r="K47" s="225"/>
      <c r="L47" s="225"/>
      <c r="M47" s="225"/>
      <c r="N47" s="225"/>
      <c r="O47" s="225"/>
      <c r="P47" s="226"/>
      <c r="Q47" s="226"/>
      <c r="R47" s="226"/>
      <c r="S47" s="226"/>
      <c r="T47" s="226"/>
      <c r="U47" s="226"/>
      <c r="V47" s="226"/>
      <c r="W47" s="224"/>
      <c r="X47" s="224"/>
      <c r="Y47" s="224"/>
      <c r="Z47" s="224"/>
      <c r="AA47" s="224"/>
      <c r="AB47" s="224"/>
      <c r="AC47" s="224"/>
      <c r="AD47" s="224"/>
      <c r="AE47" s="224"/>
      <c r="AF47" s="224"/>
      <c r="AG47" s="224"/>
      <c r="AH47" s="224"/>
      <c r="AI47" s="224"/>
      <c r="AJ47" s="224"/>
      <c r="AK47" s="224"/>
      <c r="AL47" s="224"/>
      <c r="AM47" s="227"/>
    </row>
    <row r="48" spans="1:39" ht="12.75" customHeight="1">
      <c r="A48" s="223"/>
      <c r="B48" s="224"/>
      <c r="C48" s="224"/>
      <c r="D48" s="224"/>
      <c r="E48" s="224"/>
      <c r="F48" s="224"/>
      <c r="G48" s="224"/>
      <c r="H48" s="224"/>
      <c r="I48" s="224"/>
      <c r="J48" s="224"/>
      <c r="K48" s="224"/>
      <c r="L48" s="224"/>
      <c r="M48" s="224"/>
      <c r="N48" s="224"/>
      <c r="O48" s="224"/>
      <c r="P48" s="224"/>
      <c r="Q48" s="224"/>
      <c r="R48" s="224"/>
      <c r="S48" s="224"/>
      <c r="T48" s="224"/>
      <c r="U48" s="224"/>
      <c r="V48" s="224"/>
      <c r="W48" s="224"/>
      <c r="X48" s="224"/>
      <c r="Y48" s="224"/>
      <c r="Z48" s="224"/>
      <c r="AA48" s="224"/>
      <c r="AB48" s="224"/>
      <c r="AC48" s="224"/>
      <c r="AD48" s="224"/>
      <c r="AE48" s="224"/>
      <c r="AF48" s="224"/>
      <c r="AG48" s="224"/>
      <c r="AH48" s="224"/>
      <c r="AI48" s="224"/>
      <c r="AJ48" s="224"/>
      <c r="AK48" s="224"/>
      <c r="AL48" s="224"/>
      <c r="AM48" s="227"/>
    </row>
    <row r="49" spans="1:54" ht="14.1" customHeight="1">
      <c r="A49" s="223"/>
      <c r="B49" s="224"/>
      <c r="C49" s="224"/>
      <c r="D49" s="224"/>
      <c r="E49" s="224"/>
      <c r="F49" s="224"/>
      <c r="G49" s="224"/>
      <c r="H49" s="224"/>
      <c r="I49" s="224"/>
      <c r="J49" s="224"/>
      <c r="K49" s="224"/>
      <c r="L49" s="224"/>
      <c r="M49" s="224"/>
      <c r="N49" s="224"/>
      <c r="O49" s="224"/>
      <c r="P49" s="224"/>
      <c r="Q49" s="224"/>
      <c r="R49" s="224"/>
      <c r="S49" s="224"/>
      <c r="T49" s="224"/>
      <c r="U49" s="224"/>
      <c r="V49" s="224"/>
      <c r="W49" s="224"/>
      <c r="X49" s="224"/>
      <c r="Y49" s="224"/>
      <c r="Z49" s="224"/>
      <c r="AA49" s="224"/>
      <c r="AB49" s="224"/>
      <c r="AC49" s="224"/>
      <c r="AD49" s="224"/>
      <c r="AE49" s="224"/>
      <c r="AF49" s="224"/>
      <c r="AG49" s="224"/>
      <c r="AH49" s="224"/>
      <c r="AI49" s="224"/>
      <c r="AJ49" s="224"/>
      <c r="AK49" s="224"/>
      <c r="AL49" s="224"/>
      <c r="AM49" s="227"/>
    </row>
    <row r="50" spans="1:54" ht="12.75" customHeight="1">
      <c r="A50" s="223"/>
      <c r="B50" s="224"/>
      <c r="C50" s="224"/>
      <c r="D50" s="224"/>
      <c r="E50" s="224"/>
      <c r="F50" s="224"/>
      <c r="G50" s="224"/>
      <c r="H50" s="224"/>
      <c r="I50" s="224"/>
      <c r="J50" s="224"/>
      <c r="K50" s="224"/>
      <c r="L50" s="224"/>
      <c r="M50" s="224"/>
      <c r="N50" s="224"/>
      <c r="O50" s="224"/>
      <c r="P50" s="224"/>
      <c r="Q50" s="224"/>
      <c r="R50" s="224"/>
      <c r="S50" s="224"/>
      <c r="T50" s="224"/>
      <c r="U50" s="224"/>
      <c r="V50" s="224"/>
      <c r="W50" s="224"/>
      <c r="X50" s="224"/>
      <c r="Y50" s="224"/>
      <c r="Z50" s="224"/>
      <c r="AA50" s="224"/>
      <c r="AB50" s="224"/>
      <c r="AC50" s="224"/>
      <c r="AD50" s="224"/>
      <c r="AE50" s="224"/>
      <c r="AF50" s="224"/>
      <c r="AG50" s="224"/>
      <c r="AH50" s="224"/>
      <c r="AI50" s="224"/>
      <c r="AJ50" s="224"/>
      <c r="AK50" s="224"/>
      <c r="AL50" s="224"/>
      <c r="AM50" s="227"/>
    </row>
    <row r="51" spans="1:54" ht="13.5" thickBot="1">
      <c r="A51" s="228"/>
      <c r="B51" s="229"/>
      <c r="C51" s="229"/>
      <c r="D51" s="229"/>
      <c r="E51" s="229"/>
      <c r="F51" s="229"/>
      <c r="G51" s="229"/>
      <c r="H51" s="229"/>
      <c r="I51" s="229"/>
      <c r="J51" s="229"/>
      <c r="K51" s="229"/>
      <c r="L51" s="229"/>
      <c r="M51" s="229"/>
      <c r="N51" s="229"/>
      <c r="O51" s="229"/>
      <c r="P51" s="229"/>
      <c r="Q51" s="229"/>
      <c r="R51" s="229"/>
      <c r="S51" s="229"/>
      <c r="T51" s="229"/>
      <c r="U51" s="229"/>
      <c r="V51" s="229"/>
      <c r="W51" s="229"/>
      <c r="X51" s="229"/>
      <c r="Y51" s="229"/>
      <c r="Z51" s="229"/>
      <c r="AA51" s="229"/>
      <c r="AB51" s="229"/>
      <c r="AC51" s="229"/>
      <c r="AD51" s="229"/>
      <c r="AE51" s="229"/>
      <c r="AF51" s="229"/>
      <c r="AG51" s="229"/>
      <c r="AH51" s="229"/>
      <c r="AI51" s="229"/>
      <c r="AJ51" s="229"/>
      <c r="AK51" s="229"/>
      <c r="AL51" s="229"/>
      <c r="AM51" s="230"/>
    </row>
    <row r="52" spans="1:54" ht="14.1" customHeight="1">
      <c r="A52" s="484" t="s">
        <v>37</v>
      </c>
      <c r="B52" s="485"/>
      <c r="C52" s="485"/>
      <c r="D52" s="485"/>
      <c r="E52" s="485"/>
      <c r="F52" s="486"/>
      <c r="G52" s="487" t="s">
        <v>38</v>
      </c>
      <c r="H52" s="488"/>
      <c r="I52" s="488"/>
      <c r="J52" s="488"/>
      <c r="K52" s="488"/>
      <c r="L52" s="488"/>
      <c r="M52" s="488"/>
      <c r="N52" s="488"/>
      <c r="O52" s="488"/>
      <c r="P52" s="488"/>
      <c r="Q52" s="488"/>
      <c r="R52" s="488"/>
      <c r="S52" s="488"/>
      <c r="T52" s="488"/>
      <c r="U52" s="488"/>
      <c r="V52" s="488"/>
      <c r="W52" s="488"/>
      <c r="X52" s="488"/>
      <c r="Y52" s="488"/>
      <c r="Z52" s="488"/>
      <c r="AA52" s="488"/>
      <c r="AB52" s="488"/>
      <c r="AC52" s="488"/>
      <c r="AD52" s="488"/>
      <c r="AE52" s="488"/>
      <c r="AF52" s="488"/>
      <c r="AG52" s="488"/>
      <c r="AH52" s="488"/>
      <c r="AI52" s="488"/>
      <c r="AJ52" s="488"/>
      <c r="AK52" s="488"/>
      <c r="AL52" s="488"/>
      <c r="AM52" s="489"/>
    </row>
    <row r="53" spans="1:54" ht="14.1" customHeight="1">
      <c r="A53" s="470" t="s">
        <v>39</v>
      </c>
      <c r="B53" s="471"/>
      <c r="C53" s="471"/>
      <c r="D53" s="471"/>
      <c r="E53" s="471"/>
      <c r="F53" s="472"/>
      <c r="G53" s="473" t="s">
        <v>40</v>
      </c>
      <c r="H53" s="474"/>
      <c r="I53" s="474"/>
      <c r="J53" s="474"/>
      <c r="K53" s="474"/>
      <c r="L53" s="474"/>
      <c r="M53" s="474"/>
      <c r="N53" s="474"/>
      <c r="O53" s="474"/>
      <c r="P53" s="474"/>
      <c r="Q53" s="474"/>
      <c r="R53" s="474"/>
      <c r="S53" s="474"/>
      <c r="T53" s="474"/>
      <c r="U53" s="474"/>
      <c r="V53" s="474"/>
      <c r="W53" s="474"/>
      <c r="X53" s="474"/>
      <c r="Y53" s="474"/>
      <c r="Z53" s="474"/>
      <c r="AA53" s="474"/>
      <c r="AB53" s="474"/>
      <c r="AC53" s="474"/>
      <c r="AD53" s="474"/>
      <c r="AE53" s="474"/>
      <c r="AF53" s="474"/>
      <c r="AG53" s="474"/>
      <c r="AH53" s="474"/>
      <c r="AI53" s="474"/>
      <c r="AJ53" s="474"/>
      <c r="AK53" s="474"/>
      <c r="AL53" s="474"/>
      <c r="AM53" s="475"/>
    </row>
    <row r="54" spans="1:54" ht="14.1" customHeight="1">
      <c r="A54" s="470" t="s">
        <v>41</v>
      </c>
      <c r="B54" s="471"/>
      <c r="C54" s="471"/>
      <c r="D54" s="471"/>
      <c r="E54" s="471"/>
      <c r="F54" s="472"/>
      <c r="G54" s="473" t="s">
        <v>42</v>
      </c>
      <c r="H54" s="474"/>
      <c r="I54" s="474"/>
      <c r="J54" s="474"/>
      <c r="K54" s="474"/>
      <c r="L54" s="474"/>
      <c r="M54" s="474"/>
      <c r="N54" s="474"/>
      <c r="O54" s="474"/>
      <c r="P54" s="474"/>
      <c r="Q54" s="474"/>
      <c r="R54" s="474"/>
      <c r="S54" s="474"/>
      <c r="T54" s="474"/>
      <c r="U54" s="474"/>
      <c r="V54" s="474"/>
      <c r="W54" s="474"/>
      <c r="X54" s="474"/>
      <c r="Y54" s="474"/>
      <c r="Z54" s="474"/>
      <c r="AA54" s="474"/>
      <c r="AB54" s="474"/>
      <c r="AC54" s="474"/>
      <c r="AD54" s="474"/>
      <c r="AE54" s="474"/>
      <c r="AF54" s="474"/>
      <c r="AG54" s="474"/>
      <c r="AH54" s="474"/>
      <c r="AI54" s="474"/>
      <c r="AJ54" s="474"/>
      <c r="AK54" s="474"/>
      <c r="AL54" s="474"/>
      <c r="AM54" s="475"/>
    </row>
    <row r="55" spans="1:54" ht="14.1" customHeight="1">
      <c r="A55" s="470" t="s">
        <v>43</v>
      </c>
      <c r="B55" s="471"/>
      <c r="C55" s="471"/>
      <c r="D55" s="471"/>
      <c r="E55" s="471"/>
      <c r="F55" s="472"/>
      <c r="G55" s="473" t="s">
        <v>44</v>
      </c>
      <c r="H55" s="474"/>
      <c r="I55" s="474"/>
      <c r="J55" s="474"/>
      <c r="K55" s="474"/>
      <c r="L55" s="474"/>
      <c r="M55" s="474"/>
      <c r="N55" s="474"/>
      <c r="O55" s="474"/>
      <c r="P55" s="474"/>
      <c r="Q55" s="474"/>
      <c r="R55" s="474"/>
      <c r="S55" s="474"/>
      <c r="T55" s="474"/>
      <c r="U55" s="474"/>
      <c r="V55" s="474"/>
      <c r="W55" s="474"/>
      <c r="X55" s="474"/>
      <c r="Y55" s="474"/>
      <c r="Z55" s="474"/>
      <c r="AA55" s="474"/>
      <c r="AB55" s="474"/>
      <c r="AC55" s="474"/>
      <c r="AD55" s="474"/>
      <c r="AE55" s="474"/>
      <c r="AF55" s="474"/>
      <c r="AG55" s="474"/>
      <c r="AH55" s="474"/>
      <c r="AI55" s="474"/>
      <c r="AJ55" s="474"/>
      <c r="AK55" s="474"/>
      <c r="AL55" s="474"/>
      <c r="AM55" s="475"/>
    </row>
    <row r="56" spans="1:54" ht="14.1" customHeight="1" thickBot="1">
      <c r="A56" s="476" t="s">
        <v>45</v>
      </c>
      <c r="B56" s="477"/>
      <c r="C56" s="477"/>
      <c r="D56" s="477"/>
      <c r="E56" s="477"/>
      <c r="F56" s="478"/>
      <c r="G56" s="479" t="s">
        <v>46</v>
      </c>
      <c r="H56" s="480"/>
      <c r="I56" s="480"/>
      <c r="J56" s="480"/>
      <c r="K56" s="480"/>
      <c r="L56" s="480"/>
      <c r="M56" s="480"/>
      <c r="N56" s="480"/>
      <c r="O56" s="480"/>
      <c r="P56" s="480"/>
      <c r="Q56" s="480"/>
      <c r="R56" s="480"/>
      <c r="S56" s="480"/>
      <c r="T56" s="480"/>
      <c r="U56" s="480"/>
      <c r="V56" s="480"/>
      <c r="W56" s="480"/>
      <c r="X56" s="480"/>
      <c r="Y56" s="480"/>
      <c r="Z56" s="480"/>
      <c r="AA56" s="480"/>
      <c r="AB56" s="480"/>
      <c r="AC56" s="480"/>
      <c r="AD56" s="480"/>
      <c r="AE56" s="480"/>
      <c r="AF56" s="480"/>
      <c r="AG56" s="480"/>
      <c r="AH56" s="480"/>
      <c r="AI56" s="480"/>
      <c r="AJ56" s="480"/>
      <c r="AK56" s="480"/>
      <c r="AL56" s="480"/>
      <c r="AM56" s="481"/>
    </row>
    <row r="57" spans="1:54" s="6" customFormat="1" ht="47.25" customHeight="1">
      <c r="A57" s="69" t="s">
        <v>47</v>
      </c>
      <c r="B57" s="462" t="s">
        <v>48</v>
      </c>
      <c r="C57" s="462"/>
      <c r="D57" s="463" t="s">
        <v>49</v>
      </c>
      <c r="E57" s="464"/>
      <c r="F57" s="464"/>
      <c r="G57" s="464"/>
      <c r="H57" s="464"/>
      <c r="I57" s="464"/>
      <c r="J57" s="464"/>
      <c r="K57" s="464"/>
      <c r="L57" s="464"/>
      <c r="M57" s="464"/>
      <c r="N57" s="464"/>
      <c r="O57" s="464"/>
      <c r="P57" s="464"/>
      <c r="Q57" s="464"/>
      <c r="R57" s="464"/>
      <c r="S57" s="464"/>
      <c r="T57" s="464"/>
      <c r="U57" s="464"/>
      <c r="V57" s="464"/>
      <c r="W57" s="464"/>
      <c r="X57" s="464"/>
      <c r="Y57" s="464"/>
      <c r="Z57" s="464"/>
      <c r="AA57" s="464"/>
      <c r="AB57" s="464"/>
      <c r="AC57" s="464"/>
      <c r="AD57" s="464"/>
      <c r="AE57" s="464"/>
      <c r="AF57" s="464"/>
      <c r="AG57" s="464"/>
      <c r="AH57" s="464"/>
      <c r="AI57" s="464"/>
      <c r="AJ57" s="464"/>
      <c r="AK57" s="107" t="s">
        <v>50</v>
      </c>
      <c r="AL57" s="46" t="s">
        <v>51</v>
      </c>
      <c r="AM57" s="46" t="s">
        <v>52</v>
      </c>
      <c r="AN57" s="141" t="s">
        <v>53</v>
      </c>
      <c r="AO57" s="75" t="s">
        <v>54</v>
      </c>
      <c r="AP57" s="76" t="s">
        <v>55</v>
      </c>
      <c r="AQ57" s="76" t="s">
        <v>56</v>
      </c>
      <c r="AR57" s="76" t="s">
        <v>57</v>
      </c>
      <c r="AS57" s="76" t="s">
        <v>58</v>
      </c>
      <c r="AT57" s="76" t="s">
        <v>59</v>
      </c>
      <c r="AU57" s="76" t="s">
        <v>60</v>
      </c>
      <c r="AV57" s="76" t="s">
        <v>61</v>
      </c>
      <c r="AW57" s="76" t="s">
        <v>62</v>
      </c>
      <c r="AX57" s="76" t="s">
        <v>63</v>
      </c>
      <c r="AY57" s="76" t="s">
        <v>64</v>
      </c>
      <c r="AZ57" s="77" t="s">
        <v>65</v>
      </c>
      <c r="BA57" s="76" t="s">
        <v>66</v>
      </c>
      <c r="BB57" s="77" t="s">
        <v>67</v>
      </c>
    </row>
    <row r="58" spans="1:54" s="3" customFormat="1" ht="14.1" customHeight="1">
      <c r="A58" s="231">
        <v>46054</v>
      </c>
      <c r="B58" s="564"/>
      <c r="C58" s="565"/>
      <c r="D58" s="566"/>
      <c r="E58" s="566"/>
      <c r="F58" s="566"/>
      <c r="G58" s="566"/>
      <c r="H58" s="566"/>
      <c r="I58" s="566"/>
      <c r="J58" s="566"/>
      <c r="K58" s="566"/>
      <c r="L58" s="566"/>
      <c r="M58" s="566"/>
      <c r="N58" s="566"/>
      <c r="O58" s="566"/>
      <c r="P58" s="566"/>
      <c r="Q58" s="566"/>
      <c r="R58" s="566"/>
      <c r="S58" s="566"/>
      <c r="T58" s="566"/>
      <c r="U58" s="566"/>
      <c r="V58" s="566"/>
      <c r="W58" s="566"/>
      <c r="X58" s="566"/>
      <c r="Y58" s="566"/>
      <c r="Z58" s="566"/>
      <c r="AA58" s="566"/>
      <c r="AB58" s="566"/>
      <c r="AC58" s="566"/>
      <c r="AD58" s="566"/>
      <c r="AE58" s="566"/>
      <c r="AF58" s="566"/>
      <c r="AG58" s="566"/>
      <c r="AH58" s="566"/>
      <c r="AI58" s="566"/>
      <c r="AJ58" s="567"/>
      <c r="AK58" s="232"/>
      <c r="AL58" s="233"/>
      <c r="AM58" s="234"/>
      <c r="AN58" s="181"/>
      <c r="AO58" s="302">
        <f t="shared" ref="AO58:AO88" si="5">A58</f>
        <v>46054</v>
      </c>
      <c r="AP58" s="183" t="str">
        <f>LEFT(D58,6)</f>
        <v/>
      </c>
      <c r="AQ58" s="303"/>
      <c r="AR58" s="304"/>
      <c r="AS58" s="304"/>
      <c r="AT58" s="305"/>
      <c r="AU58" s="304"/>
      <c r="AV58" s="305"/>
      <c r="AW58" s="304"/>
      <c r="AX58" s="305"/>
      <c r="AY58" s="304"/>
      <c r="AZ58" s="306"/>
      <c r="BA58" s="189"/>
      <c r="BB58" s="188"/>
    </row>
    <row r="59" spans="1:54" s="3" customFormat="1" ht="87">
      <c r="A59" s="111">
        <v>46055</v>
      </c>
      <c r="B59" s="568" t="s">
        <v>68</v>
      </c>
      <c r="C59" s="458"/>
      <c r="D59" s="455" t="s">
        <v>69</v>
      </c>
      <c r="E59" s="455"/>
      <c r="F59" s="455"/>
      <c r="G59" s="455"/>
      <c r="H59" s="455"/>
      <c r="I59" s="455"/>
      <c r="J59" s="455"/>
      <c r="K59" s="455"/>
      <c r="L59" s="455"/>
      <c r="M59" s="455"/>
      <c r="N59" s="455"/>
      <c r="O59" s="455"/>
      <c r="P59" s="455"/>
      <c r="Q59" s="455"/>
      <c r="R59" s="455"/>
      <c r="S59" s="455"/>
      <c r="T59" s="455"/>
      <c r="U59" s="455"/>
      <c r="V59" s="455"/>
      <c r="W59" s="455"/>
      <c r="X59" s="455"/>
      <c r="Y59" s="455"/>
      <c r="Z59" s="455"/>
      <c r="AA59" s="455"/>
      <c r="AB59" s="455"/>
      <c r="AC59" s="455"/>
      <c r="AD59" s="455"/>
      <c r="AE59" s="455"/>
      <c r="AF59" s="455"/>
      <c r="AG59" s="455"/>
      <c r="AH59" s="455"/>
      <c r="AI59" s="455"/>
      <c r="AJ59" s="456"/>
      <c r="AK59" s="112">
        <v>78.48</v>
      </c>
      <c r="AL59" s="113">
        <v>2</v>
      </c>
      <c r="AM59" s="135">
        <f>IF(AL59="CO", "CO", IF(COUNTIF(AO:AO, A59)=0, 0, (8-SUMIF(AO:AO, A59, AL:AL)) / COUNTIF(AO:AO, A59)))</f>
        <v>6</v>
      </c>
      <c r="AN59" s="145" t="s">
        <v>126</v>
      </c>
      <c r="AO59" s="307">
        <f t="shared" si="5"/>
        <v>46055</v>
      </c>
      <c r="AP59" s="114" t="str">
        <f t="shared" ref="AP59:AP88" si="6">LEFT(D59,6)</f>
        <v xml:space="preserve">SA1.1 </v>
      </c>
      <c r="AQ59" s="308" t="s">
        <v>76</v>
      </c>
      <c r="AR59" s="309" t="s">
        <v>77</v>
      </c>
      <c r="AS59" s="309" t="s">
        <v>78</v>
      </c>
      <c r="AT59" s="310" t="s">
        <v>127</v>
      </c>
      <c r="AU59" s="309"/>
      <c r="AV59" s="311"/>
      <c r="AW59" s="309"/>
      <c r="AX59" s="311"/>
      <c r="AY59" s="309"/>
      <c r="AZ59" s="312"/>
      <c r="BA59" s="167"/>
      <c r="BB59" s="117"/>
    </row>
    <row r="60" spans="1:54" s="3" customFormat="1" ht="45.75">
      <c r="A60" s="111">
        <v>46056</v>
      </c>
      <c r="B60" s="454" t="s">
        <v>68</v>
      </c>
      <c r="C60" s="454"/>
      <c r="D60" s="455" t="s">
        <v>69</v>
      </c>
      <c r="E60" s="455"/>
      <c r="F60" s="455"/>
      <c r="G60" s="455"/>
      <c r="H60" s="455"/>
      <c r="I60" s="455"/>
      <c r="J60" s="455"/>
      <c r="K60" s="455"/>
      <c r="L60" s="455"/>
      <c r="M60" s="455"/>
      <c r="N60" s="455"/>
      <c r="O60" s="455"/>
      <c r="P60" s="455"/>
      <c r="Q60" s="455"/>
      <c r="R60" s="455"/>
      <c r="S60" s="455"/>
      <c r="T60" s="455"/>
      <c r="U60" s="455"/>
      <c r="V60" s="455"/>
      <c r="W60" s="455"/>
      <c r="X60" s="455"/>
      <c r="Y60" s="455"/>
      <c r="Z60" s="455"/>
      <c r="AA60" s="455"/>
      <c r="AB60" s="455"/>
      <c r="AC60" s="455"/>
      <c r="AD60" s="455"/>
      <c r="AE60" s="455"/>
      <c r="AF60" s="455"/>
      <c r="AG60" s="455"/>
      <c r="AH60" s="455"/>
      <c r="AI60" s="455"/>
      <c r="AJ60" s="456"/>
      <c r="AK60" s="112">
        <v>78.48</v>
      </c>
      <c r="AL60" s="113">
        <v>5</v>
      </c>
      <c r="AM60" s="135">
        <f>IF(AL60="CO", "CO", IF(COUNTIF(AO:AO, A60)=0, 0, (8-SUMIF(AO:AO, A60, AL:AL)) / COUNTIF(AO:AO, A60)))</f>
        <v>3</v>
      </c>
      <c r="AN60" s="398" t="s">
        <v>128</v>
      </c>
      <c r="AO60" s="313">
        <f t="shared" si="5"/>
        <v>46056</v>
      </c>
      <c r="AP60" s="314" t="str">
        <f t="shared" si="6"/>
        <v xml:space="preserve">SA1.1 </v>
      </c>
      <c r="AQ60" s="315" t="s">
        <v>76</v>
      </c>
      <c r="AR60" s="316" t="s">
        <v>77</v>
      </c>
      <c r="AS60" s="316" t="s">
        <v>73</v>
      </c>
      <c r="AT60" s="317" t="s">
        <v>129</v>
      </c>
      <c r="AU60" s="316"/>
      <c r="AV60" s="397"/>
      <c r="AW60" s="316"/>
      <c r="AX60" s="316"/>
      <c r="AY60" s="316"/>
      <c r="AZ60" s="319"/>
      <c r="BA60" s="167"/>
      <c r="BB60" s="117"/>
    </row>
    <row r="61" spans="1:54" s="3" customFormat="1" ht="144.94999999999999">
      <c r="A61" s="111">
        <v>46057</v>
      </c>
      <c r="B61" s="454" t="s">
        <v>68</v>
      </c>
      <c r="C61" s="454"/>
      <c r="D61" s="455" t="s">
        <v>69</v>
      </c>
      <c r="E61" s="455"/>
      <c r="F61" s="455"/>
      <c r="G61" s="455"/>
      <c r="H61" s="455"/>
      <c r="I61" s="455"/>
      <c r="J61" s="455"/>
      <c r="K61" s="455"/>
      <c r="L61" s="455"/>
      <c r="M61" s="455"/>
      <c r="N61" s="455"/>
      <c r="O61" s="455"/>
      <c r="P61" s="455"/>
      <c r="Q61" s="455"/>
      <c r="R61" s="455"/>
      <c r="S61" s="455"/>
      <c r="T61" s="455"/>
      <c r="U61" s="455"/>
      <c r="V61" s="455"/>
      <c r="W61" s="455"/>
      <c r="X61" s="455"/>
      <c r="Y61" s="455"/>
      <c r="Z61" s="455"/>
      <c r="AA61" s="455"/>
      <c r="AB61" s="455"/>
      <c r="AC61" s="455"/>
      <c r="AD61" s="455"/>
      <c r="AE61" s="455"/>
      <c r="AF61" s="455"/>
      <c r="AG61" s="455"/>
      <c r="AH61" s="455"/>
      <c r="AI61" s="455"/>
      <c r="AJ61" s="456"/>
      <c r="AK61" s="112">
        <v>78.48</v>
      </c>
      <c r="AL61" s="235">
        <v>3</v>
      </c>
      <c r="AM61" s="135">
        <f>IF(AL61="CO", "CO", IF(COUNTIF(AO:AO, A61)=0, 0, (8-SUMIF(AO:AO, A61, AL:AL)) / COUNTIF(AO:AO, A61)))</f>
        <v>5</v>
      </c>
      <c r="AN61" s="195" t="s">
        <v>130</v>
      </c>
      <c r="AO61" s="307">
        <f t="shared" si="5"/>
        <v>46057</v>
      </c>
      <c r="AP61" s="114" t="str">
        <f t="shared" si="6"/>
        <v xml:space="preserve">SA1.1 </v>
      </c>
      <c r="AQ61" s="308" t="s">
        <v>76</v>
      </c>
      <c r="AR61" s="309" t="s">
        <v>77</v>
      </c>
      <c r="AS61" s="309" t="s">
        <v>78</v>
      </c>
      <c r="AT61" s="310" t="s">
        <v>131</v>
      </c>
      <c r="AU61" s="309"/>
      <c r="AV61" s="320"/>
      <c r="AW61" s="309"/>
      <c r="AX61" s="320"/>
      <c r="AY61" s="309"/>
      <c r="AZ61" s="312"/>
      <c r="BA61" s="167"/>
      <c r="BB61" s="119"/>
    </row>
    <row r="62" spans="1:54" s="3" customFormat="1" ht="72.599999999999994">
      <c r="A62" s="111">
        <v>46058</v>
      </c>
      <c r="B62" s="454" t="s">
        <v>68</v>
      </c>
      <c r="C62" s="454"/>
      <c r="D62" s="455" t="s">
        <v>69</v>
      </c>
      <c r="E62" s="455"/>
      <c r="F62" s="455"/>
      <c r="G62" s="455"/>
      <c r="H62" s="455"/>
      <c r="I62" s="455"/>
      <c r="J62" s="455"/>
      <c r="K62" s="455"/>
      <c r="L62" s="455"/>
      <c r="M62" s="455"/>
      <c r="N62" s="455"/>
      <c r="O62" s="455"/>
      <c r="P62" s="455"/>
      <c r="Q62" s="455"/>
      <c r="R62" s="455"/>
      <c r="S62" s="455"/>
      <c r="T62" s="455"/>
      <c r="U62" s="455"/>
      <c r="V62" s="455"/>
      <c r="W62" s="455"/>
      <c r="X62" s="455"/>
      <c r="Y62" s="455"/>
      <c r="Z62" s="455"/>
      <c r="AA62" s="455"/>
      <c r="AB62" s="455"/>
      <c r="AC62" s="455"/>
      <c r="AD62" s="455"/>
      <c r="AE62" s="455"/>
      <c r="AF62" s="455"/>
      <c r="AG62" s="455"/>
      <c r="AH62" s="455"/>
      <c r="AI62" s="455"/>
      <c r="AJ62" s="456"/>
      <c r="AK62" s="112">
        <v>78.48</v>
      </c>
      <c r="AL62" s="113">
        <v>5</v>
      </c>
      <c r="AM62" s="135">
        <f>IF(AL62="CO", "CO", IF(COUNTIF(AO:AO, A62)=0, 0, (8-SUMIF(AO:AO, A62, AL:AL)) / COUNTIF(AO:AO, A62)))</f>
        <v>3</v>
      </c>
      <c r="AN62" s="145" t="s">
        <v>132</v>
      </c>
      <c r="AO62" s="313">
        <f t="shared" si="5"/>
        <v>46058</v>
      </c>
      <c r="AP62" s="314" t="str">
        <f t="shared" si="6"/>
        <v xml:space="preserve">SA1.1 </v>
      </c>
      <c r="AQ62" s="315" t="s">
        <v>76</v>
      </c>
      <c r="AR62" s="316" t="s">
        <v>77</v>
      </c>
      <c r="AS62" s="316" t="s">
        <v>78</v>
      </c>
      <c r="AT62" s="317" t="s">
        <v>133</v>
      </c>
      <c r="AU62" s="316"/>
      <c r="AV62" s="321"/>
      <c r="AW62" s="316"/>
      <c r="AX62" s="316"/>
      <c r="AY62" s="316"/>
      <c r="AZ62" s="319"/>
      <c r="BA62" s="167"/>
      <c r="BB62" s="119"/>
    </row>
    <row r="63" spans="1:54" s="3" customFormat="1" ht="27" customHeight="1">
      <c r="A63" s="111">
        <v>46059</v>
      </c>
      <c r="B63" s="454"/>
      <c r="C63" s="454"/>
      <c r="D63" s="455"/>
      <c r="E63" s="455"/>
      <c r="F63" s="455"/>
      <c r="G63" s="455"/>
      <c r="H63" s="455"/>
      <c r="I63" s="455"/>
      <c r="J63" s="455"/>
      <c r="K63" s="455"/>
      <c r="L63" s="455"/>
      <c r="M63" s="455"/>
      <c r="N63" s="455"/>
      <c r="O63" s="455"/>
      <c r="P63" s="455"/>
      <c r="Q63" s="455"/>
      <c r="R63" s="455"/>
      <c r="S63" s="455"/>
      <c r="T63" s="455"/>
      <c r="U63" s="455"/>
      <c r="V63" s="455"/>
      <c r="W63" s="455"/>
      <c r="X63" s="455"/>
      <c r="Y63" s="455"/>
      <c r="Z63" s="455"/>
      <c r="AA63" s="455"/>
      <c r="AB63" s="455"/>
      <c r="AC63" s="455"/>
      <c r="AD63" s="455"/>
      <c r="AE63" s="455"/>
      <c r="AF63" s="455"/>
      <c r="AG63" s="455"/>
      <c r="AH63" s="455"/>
      <c r="AI63" s="455"/>
      <c r="AJ63" s="456"/>
      <c r="AK63" s="112"/>
      <c r="AL63" s="113"/>
      <c r="AM63" s="135">
        <f>IF(AL63="CO", "CO", IF(COUNTIF(AO:AO, A63)=0, 0, (8-SUMIF(AO:AO, A63, AL:AL)) / COUNTIF(AO:AO, A63)))</f>
        <v>8</v>
      </c>
      <c r="AN63" s="145"/>
      <c r="AO63" s="307">
        <f t="shared" si="5"/>
        <v>46059</v>
      </c>
      <c r="AP63" s="114" t="str">
        <f t="shared" si="6"/>
        <v/>
      </c>
      <c r="AQ63" s="308"/>
      <c r="AR63" s="309"/>
      <c r="AS63" s="309"/>
      <c r="AT63" s="322"/>
      <c r="AU63" s="309"/>
      <c r="AV63" s="320"/>
      <c r="AW63" s="309"/>
      <c r="AX63" s="311"/>
      <c r="AY63" s="309"/>
      <c r="AZ63" s="312"/>
      <c r="BA63" s="167"/>
      <c r="BB63" s="117"/>
    </row>
    <row r="64" spans="1:54" s="3" customFormat="1" ht="14.1" customHeight="1">
      <c r="A64" s="70">
        <v>46060</v>
      </c>
      <c r="B64" s="457"/>
      <c r="C64" s="457"/>
      <c r="D64" s="440"/>
      <c r="E64" s="440"/>
      <c r="F64" s="440"/>
      <c r="G64" s="440"/>
      <c r="H64" s="440"/>
      <c r="I64" s="440"/>
      <c r="J64" s="440"/>
      <c r="K64" s="440"/>
      <c r="L64" s="440"/>
      <c r="M64" s="440"/>
      <c r="N64" s="440"/>
      <c r="O64" s="440"/>
      <c r="P64" s="440"/>
      <c r="Q64" s="440"/>
      <c r="R64" s="440"/>
      <c r="S64" s="440"/>
      <c r="T64" s="440"/>
      <c r="U64" s="440"/>
      <c r="V64" s="440"/>
      <c r="W64" s="440"/>
      <c r="X64" s="440"/>
      <c r="Y64" s="440"/>
      <c r="Z64" s="440"/>
      <c r="AA64" s="440"/>
      <c r="AB64" s="440"/>
      <c r="AC64" s="440"/>
      <c r="AD64" s="440"/>
      <c r="AE64" s="440"/>
      <c r="AF64" s="440"/>
      <c r="AG64" s="440"/>
      <c r="AH64" s="440"/>
      <c r="AI64" s="440"/>
      <c r="AJ64" s="441"/>
      <c r="AK64" s="102"/>
      <c r="AL64" s="105"/>
      <c r="AM64" s="134"/>
      <c r="AN64" s="144"/>
      <c r="AO64" s="323">
        <f t="shared" si="5"/>
        <v>46060</v>
      </c>
      <c r="AP64" s="78" t="str">
        <f t="shared" si="6"/>
        <v/>
      </c>
      <c r="AQ64" s="324"/>
      <c r="AR64" s="325"/>
      <c r="AS64" s="326"/>
      <c r="AT64" s="327"/>
      <c r="AU64" s="326"/>
      <c r="AV64" s="328"/>
      <c r="AW64" s="326"/>
      <c r="AX64" s="328"/>
      <c r="AY64" s="326"/>
      <c r="AZ64" s="329"/>
      <c r="BA64" s="166"/>
      <c r="BB64" s="91"/>
    </row>
    <row r="65" spans="1:54" s="3" customFormat="1" ht="14.1" customHeight="1">
      <c r="A65" s="70">
        <v>46061</v>
      </c>
      <c r="B65" s="460"/>
      <c r="C65" s="461"/>
      <c r="D65" s="440"/>
      <c r="E65" s="440"/>
      <c r="F65" s="440"/>
      <c r="G65" s="440"/>
      <c r="H65" s="440"/>
      <c r="I65" s="440"/>
      <c r="J65" s="440"/>
      <c r="K65" s="440"/>
      <c r="L65" s="440"/>
      <c r="M65" s="440"/>
      <c r="N65" s="440"/>
      <c r="O65" s="440"/>
      <c r="P65" s="440"/>
      <c r="Q65" s="440"/>
      <c r="R65" s="440"/>
      <c r="S65" s="440"/>
      <c r="T65" s="440"/>
      <c r="U65" s="440"/>
      <c r="V65" s="440"/>
      <c r="W65" s="440"/>
      <c r="X65" s="440"/>
      <c r="Y65" s="440"/>
      <c r="Z65" s="440"/>
      <c r="AA65" s="440"/>
      <c r="AB65" s="440"/>
      <c r="AC65" s="440"/>
      <c r="AD65" s="440"/>
      <c r="AE65" s="440"/>
      <c r="AF65" s="440"/>
      <c r="AG65" s="440"/>
      <c r="AH65" s="440"/>
      <c r="AI65" s="440"/>
      <c r="AJ65" s="441"/>
      <c r="AK65" s="102"/>
      <c r="AL65" s="105"/>
      <c r="AM65" s="134"/>
      <c r="AN65" s="184"/>
      <c r="AO65" s="323">
        <f t="shared" si="5"/>
        <v>46061</v>
      </c>
      <c r="AP65" s="78" t="str">
        <f t="shared" si="6"/>
        <v/>
      </c>
      <c r="AQ65" s="324"/>
      <c r="AR65" s="326"/>
      <c r="AS65" s="326"/>
      <c r="AT65" s="327"/>
      <c r="AU65" s="326"/>
      <c r="AV65" s="330"/>
      <c r="AW65" s="326"/>
      <c r="AX65" s="331"/>
      <c r="AY65" s="326"/>
      <c r="AZ65" s="329"/>
      <c r="BA65" s="166"/>
      <c r="BB65" s="91"/>
    </row>
    <row r="66" spans="1:54" s="3" customFormat="1" ht="72.599999999999994">
      <c r="A66" s="111">
        <v>46062</v>
      </c>
      <c r="B66" s="458" t="s">
        <v>68</v>
      </c>
      <c r="C66" s="459"/>
      <c r="D66" s="455" t="s">
        <v>69</v>
      </c>
      <c r="E66" s="455"/>
      <c r="F66" s="455"/>
      <c r="G66" s="455"/>
      <c r="H66" s="455"/>
      <c r="I66" s="455"/>
      <c r="J66" s="455"/>
      <c r="K66" s="455"/>
      <c r="L66" s="455"/>
      <c r="M66" s="455"/>
      <c r="N66" s="455"/>
      <c r="O66" s="455"/>
      <c r="P66" s="455"/>
      <c r="Q66" s="455"/>
      <c r="R66" s="455"/>
      <c r="S66" s="455"/>
      <c r="T66" s="455"/>
      <c r="U66" s="455"/>
      <c r="V66" s="455"/>
      <c r="W66" s="455"/>
      <c r="X66" s="455"/>
      <c r="Y66" s="455"/>
      <c r="Z66" s="455"/>
      <c r="AA66" s="455"/>
      <c r="AB66" s="455"/>
      <c r="AC66" s="455"/>
      <c r="AD66" s="455"/>
      <c r="AE66" s="455"/>
      <c r="AF66" s="455"/>
      <c r="AG66" s="455"/>
      <c r="AH66" s="455"/>
      <c r="AI66" s="455"/>
      <c r="AJ66" s="456"/>
      <c r="AK66" s="112">
        <v>78.48</v>
      </c>
      <c r="AL66" s="113">
        <v>5</v>
      </c>
      <c r="AM66" s="135">
        <f t="shared" ref="AM66:AM71" si="7">IF(AL66="CO", "CO", IF(COUNTIF(AO:AO, A66)=0, 0, (8-SUMIF(AO:AO, A66, AL:AL)) / COUNTIF(AO:AO, A66)))</f>
        <v>3</v>
      </c>
      <c r="AN66" s="146" t="s">
        <v>134</v>
      </c>
      <c r="AO66" s="313">
        <f>A66</f>
        <v>46062</v>
      </c>
      <c r="AP66" s="314" t="str">
        <f>LEFT(D66,6)</f>
        <v xml:space="preserve">SA1.1 </v>
      </c>
      <c r="AQ66" s="315" t="s">
        <v>76</v>
      </c>
      <c r="AR66" s="316" t="s">
        <v>77</v>
      </c>
      <c r="AS66" s="316" t="s">
        <v>78</v>
      </c>
      <c r="AT66" s="317" t="s">
        <v>135</v>
      </c>
      <c r="AU66" s="316"/>
      <c r="AV66" s="318"/>
      <c r="AW66" s="316"/>
      <c r="AX66" s="332"/>
      <c r="AY66" s="316"/>
      <c r="AZ66" s="319"/>
      <c r="BA66" s="167"/>
      <c r="BB66" s="117"/>
    </row>
    <row r="67" spans="1:54" s="3" customFormat="1" ht="27" customHeight="1">
      <c r="A67" s="111">
        <v>46063</v>
      </c>
      <c r="B67" s="454" t="s">
        <v>68</v>
      </c>
      <c r="C67" s="454"/>
      <c r="D67" s="455" t="s">
        <v>69</v>
      </c>
      <c r="E67" s="455"/>
      <c r="F67" s="455"/>
      <c r="G67" s="455"/>
      <c r="H67" s="455"/>
      <c r="I67" s="455"/>
      <c r="J67" s="455"/>
      <c r="K67" s="455"/>
      <c r="L67" s="455"/>
      <c r="M67" s="455"/>
      <c r="N67" s="455"/>
      <c r="O67" s="455"/>
      <c r="P67" s="455"/>
      <c r="Q67" s="455"/>
      <c r="R67" s="455"/>
      <c r="S67" s="455"/>
      <c r="T67" s="455"/>
      <c r="U67" s="455"/>
      <c r="V67" s="455"/>
      <c r="W67" s="455"/>
      <c r="X67" s="455"/>
      <c r="Y67" s="455"/>
      <c r="Z67" s="455"/>
      <c r="AA67" s="455"/>
      <c r="AB67" s="455"/>
      <c r="AC67" s="455"/>
      <c r="AD67" s="455"/>
      <c r="AE67" s="455"/>
      <c r="AF67" s="455"/>
      <c r="AG67" s="455"/>
      <c r="AH67" s="455"/>
      <c r="AI67" s="455"/>
      <c r="AJ67" s="456"/>
      <c r="AK67" s="112">
        <v>78.48</v>
      </c>
      <c r="AL67" s="113"/>
      <c r="AM67" s="135">
        <f t="shared" si="7"/>
        <v>8</v>
      </c>
      <c r="AN67" s="146"/>
      <c r="AO67" s="307">
        <f t="shared" si="5"/>
        <v>46063</v>
      </c>
      <c r="AP67" s="114" t="str">
        <f t="shared" si="6"/>
        <v xml:space="preserve">SA1.1 </v>
      </c>
      <c r="AQ67" s="308"/>
      <c r="AR67" s="309"/>
      <c r="AS67" s="309"/>
      <c r="AT67" s="322"/>
      <c r="AU67" s="309"/>
      <c r="AV67" s="320"/>
      <c r="AW67" s="309"/>
      <c r="AX67" s="333"/>
      <c r="AY67" s="309"/>
      <c r="AZ67" s="312"/>
      <c r="BA67" s="167"/>
      <c r="BB67" s="119"/>
    </row>
    <row r="68" spans="1:54" s="3" customFormat="1" ht="27" customHeight="1">
      <c r="A68" s="111">
        <v>46064</v>
      </c>
      <c r="B68" s="454" t="s">
        <v>68</v>
      </c>
      <c r="C68" s="454"/>
      <c r="D68" s="455" t="s">
        <v>69</v>
      </c>
      <c r="E68" s="455"/>
      <c r="F68" s="455"/>
      <c r="G68" s="455"/>
      <c r="H68" s="455"/>
      <c r="I68" s="455"/>
      <c r="J68" s="455"/>
      <c r="K68" s="455"/>
      <c r="L68" s="455"/>
      <c r="M68" s="455"/>
      <c r="N68" s="455"/>
      <c r="O68" s="455"/>
      <c r="P68" s="455"/>
      <c r="Q68" s="455"/>
      <c r="R68" s="455"/>
      <c r="S68" s="455"/>
      <c r="T68" s="455"/>
      <c r="U68" s="455"/>
      <c r="V68" s="455"/>
      <c r="W68" s="455"/>
      <c r="X68" s="455"/>
      <c r="Y68" s="455"/>
      <c r="Z68" s="455"/>
      <c r="AA68" s="455"/>
      <c r="AB68" s="455"/>
      <c r="AC68" s="455"/>
      <c r="AD68" s="455"/>
      <c r="AE68" s="455"/>
      <c r="AF68" s="455"/>
      <c r="AG68" s="455"/>
      <c r="AH68" s="455"/>
      <c r="AI68" s="455"/>
      <c r="AJ68" s="456"/>
      <c r="AK68" s="112">
        <v>78.48</v>
      </c>
      <c r="AL68" s="113">
        <v>4</v>
      </c>
      <c r="AM68" s="135">
        <f t="shared" si="7"/>
        <v>1</v>
      </c>
      <c r="AN68" s="212" t="s">
        <v>136</v>
      </c>
      <c r="AO68" s="313">
        <f>A68</f>
        <v>46064</v>
      </c>
      <c r="AP68" s="314" t="str">
        <f>LEFT(D68,6)</f>
        <v xml:space="preserve">SA1.1 </v>
      </c>
      <c r="AQ68" s="315" t="s">
        <v>71</v>
      </c>
      <c r="AR68" s="316" t="s">
        <v>137</v>
      </c>
      <c r="AS68" s="316" t="s">
        <v>73</v>
      </c>
      <c r="AT68" s="317" t="s">
        <v>138</v>
      </c>
      <c r="AU68" s="316"/>
      <c r="AV68" s="334"/>
      <c r="AW68" s="316"/>
      <c r="AX68" s="332"/>
      <c r="AY68" s="316"/>
      <c r="AZ68" s="319"/>
      <c r="BA68" s="167"/>
      <c r="BB68" s="117"/>
    </row>
    <row r="69" spans="1:54" s="3" customFormat="1" ht="27" customHeight="1">
      <c r="A69" s="111">
        <v>46064</v>
      </c>
      <c r="B69" s="454" t="s">
        <v>68</v>
      </c>
      <c r="C69" s="454"/>
      <c r="D69" s="455" t="s">
        <v>69</v>
      </c>
      <c r="E69" s="455"/>
      <c r="F69" s="455"/>
      <c r="G69" s="455"/>
      <c r="H69" s="455"/>
      <c r="I69" s="455"/>
      <c r="J69" s="455"/>
      <c r="K69" s="455"/>
      <c r="L69" s="455"/>
      <c r="M69" s="455"/>
      <c r="N69" s="455"/>
      <c r="O69" s="455"/>
      <c r="P69" s="455"/>
      <c r="Q69" s="455"/>
      <c r="R69" s="455"/>
      <c r="S69" s="455"/>
      <c r="T69" s="455"/>
      <c r="U69" s="455"/>
      <c r="V69" s="455"/>
      <c r="W69" s="455"/>
      <c r="X69" s="455"/>
      <c r="Y69" s="455"/>
      <c r="Z69" s="455"/>
      <c r="AA69" s="455"/>
      <c r="AB69" s="455"/>
      <c r="AC69" s="455"/>
      <c r="AD69" s="455"/>
      <c r="AE69" s="455"/>
      <c r="AF69" s="455"/>
      <c r="AG69" s="455"/>
      <c r="AH69" s="455"/>
      <c r="AI69" s="455"/>
      <c r="AJ69" s="456"/>
      <c r="AK69" s="112">
        <v>78.48</v>
      </c>
      <c r="AL69" s="113">
        <v>2</v>
      </c>
      <c r="AM69" s="135">
        <f t="shared" si="7"/>
        <v>1</v>
      </c>
      <c r="AN69" s="212" t="s">
        <v>139</v>
      </c>
      <c r="AO69" s="313">
        <f t="shared" si="5"/>
        <v>46064</v>
      </c>
      <c r="AP69" s="314" t="str">
        <f t="shared" si="6"/>
        <v xml:space="preserve">SA1.1 </v>
      </c>
      <c r="AQ69" s="315" t="s">
        <v>71</v>
      </c>
      <c r="AR69" s="316" t="s">
        <v>137</v>
      </c>
      <c r="AS69" s="316" t="s">
        <v>73</v>
      </c>
      <c r="AT69" s="317" t="s">
        <v>138</v>
      </c>
      <c r="AU69" s="316"/>
      <c r="AV69" s="334"/>
      <c r="AW69" s="316"/>
      <c r="AX69" s="332"/>
      <c r="AY69" s="316"/>
      <c r="AZ69" s="319"/>
      <c r="BA69" s="167"/>
      <c r="BB69" s="117"/>
    </row>
    <row r="70" spans="1:54" s="3" customFormat="1" ht="27" customHeight="1">
      <c r="A70" s="111">
        <v>46065</v>
      </c>
      <c r="B70" s="454"/>
      <c r="C70" s="454"/>
      <c r="D70" s="455"/>
      <c r="E70" s="455"/>
      <c r="F70" s="455"/>
      <c r="G70" s="455"/>
      <c r="H70" s="455"/>
      <c r="I70" s="455"/>
      <c r="J70" s="455"/>
      <c r="K70" s="455"/>
      <c r="L70" s="455"/>
      <c r="M70" s="455"/>
      <c r="N70" s="455"/>
      <c r="O70" s="455"/>
      <c r="P70" s="455"/>
      <c r="Q70" s="455"/>
      <c r="R70" s="455"/>
      <c r="S70" s="455"/>
      <c r="T70" s="455"/>
      <c r="U70" s="455"/>
      <c r="V70" s="455"/>
      <c r="W70" s="455"/>
      <c r="X70" s="455"/>
      <c r="Y70" s="455"/>
      <c r="Z70" s="455"/>
      <c r="AA70" s="455"/>
      <c r="AB70" s="455"/>
      <c r="AC70" s="455"/>
      <c r="AD70" s="455"/>
      <c r="AE70" s="455"/>
      <c r="AF70" s="455"/>
      <c r="AG70" s="455"/>
      <c r="AH70" s="455"/>
      <c r="AI70" s="455"/>
      <c r="AJ70" s="456"/>
      <c r="AK70" s="112"/>
      <c r="AL70" s="113"/>
      <c r="AM70" s="135">
        <f t="shared" si="7"/>
        <v>8</v>
      </c>
      <c r="AN70" s="145"/>
      <c r="AO70" s="307">
        <f t="shared" si="5"/>
        <v>46065</v>
      </c>
      <c r="AP70" s="114" t="str">
        <f t="shared" si="6"/>
        <v/>
      </c>
      <c r="AQ70" s="308"/>
      <c r="AR70" s="309"/>
      <c r="AS70" s="335"/>
      <c r="AT70" s="322"/>
      <c r="AU70" s="309"/>
      <c r="AV70" s="311"/>
      <c r="AW70" s="309"/>
      <c r="AX70" s="333"/>
      <c r="AY70" s="309"/>
      <c r="AZ70" s="312"/>
      <c r="BA70" s="167"/>
      <c r="BB70" s="117"/>
    </row>
    <row r="71" spans="1:54" s="3" customFormat="1" ht="27" customHeight="1">
      <c r="A71" s="111">
        <v>46066</v>
      </c>
      <c r="B71" s="454"/>
      <c r="C71" s="454"/>
      <c r="D71" s="455"/>
      <c r="E71" s="455"/>
      <c r="F71" s="455"/>
      <c r="G71" s="455"/>
      <c r="H71" s="455"/>
      <c r="I71" s="455"/>
      <c r="J71" s="455"/>
      <c r="K71" s="455"/>
      <c r="L71" s="455"/>
      <c r="M71" s="455"/>
      <c r="N71" s="455"/>
      <c r="O71" s="455"/>
      <c r="P71" s="455"/>
      <c r="Q71" s="455"/>
      <c r="R71" s="455"/>
      <c r="S71" s="455"/>
      <c r="T71" s="455"/>
      <c r="U71" s="455"/>
      <c r="V71" s="455"/>
      <c r="W71" s="455"/>
      <c r="X71" s="455"/>
      <c r="Y71" s="455"/>
      <c r="Z71" s="455"/>
      <c r="AA71" s="455"/>
      <c r="AB71" s="455"/>
      <c r="AC71" s="455"/>
      <c r="AD71" s="455"/>
      <c r="AE71" s="455"/>
      <c r="AF71" s="455"/>
      <c r="AG71" s="455"/>
      <c r="AH71" s="455"/>
      <c r="AI71" s="455"/>
      <c r="AJ71" s="456"/>
      <c r="AK71" s="112"/>
      <c r="AL71" s="113"/>
      <c r="AM71" s="135">
        <f t="shared" si="7"/>
        <v>8</v>
      </c>
      <c r="AN71" s="145"/>
      <c r="AO71" s="313">
        <f t="shared" si="5"/>
        <v>46066</v>
      </c>
      <c r="AP71" s="314" t="str">
        <f t="shared" si="6"/>
        <v/>
      </c>
      <c r="AQ71" s="315"/>
      <c r="AR71" s="316"/>
      <c r="AS71" s="336"/>
      <c r="AT71" s="337"/>
      <c r="AU71" s="316"/>
      <c r="AV71" s="334"/>
      <c r="AW71" s="316"/>
      <c r="AX71" s="332"/>
      <c r="AY71" s="316"/>
      <c r="AZ71" s="319"/>
      <c r="BA71" s="167"/>
      <c r="BB71" s="117"/>
    </row>
    <row r="72" spans="1:54" s="3" customFormat="1" ht="14.1" customHeight="1">
      <c r="A72" s="70">
        <v>46067</v>
      </c>
      <c r="B72" s="457"/>
      <c r="C72" s="457"/>
      <c r="D72" s="440"/>
      <c r="E72" s="440"/>
      <c r="F72" s="440"/>
      <c r="G72" s="440"/>
      <c r="H72" s="440"/>
      <c r="I72" s="440"/>
      <c r="J72" s="440"/>
      <c r="K72" s="440"/>
      <c r="L72" s="440"/>
      <c r="M72" s="440"/>
      <c r="N72" s="440"/>
      <c r="O72" s="440"/>
      <c r="P72" s="440"/>
      <c r="Q72" s="440"/>
      <c r="R72" s="440"/>
      <c r="S72" s="440"/>
      <c r="T72" s="440"/>
      <c r="U72" s="440"/>
      <c r="V72" s="440"/>
      <c r="W72" s="440"/>
      <c r="X72" s="440"/>
      <c r="Y72" s="440"/>
      <c r="Z72" s="440"/>
      <c r="AA72" s="440"/>
      <c r="AB72" s="440"/>
      <c r="AC72" s="440"/>
      <c r="AD72" s="440"/>
      <c r="AE72" s="440"/>
      <c r="AF72" s="440"/>
      <c r="AG72" s="440"/>
      <c r="AH72" s="440"/>
      <c r="AI72" s="440"/>
      <c r="AJ72" s="441"/>
      <c r="AK72" s="102"/>
      <c r="AL72" s="105"/>
      <c r="AM72" s="134"/>
      <c r="AN72" s="144"/>
      <c r="AO72" s="323">
        <f t="shared" si="5"/>
        <v>46067</v>
      </c>
      <c r="AP72" s="78" t="str">
        <f t="shared" si="6"/>
        <v/>
      </c>
      <c r="AQ72" s="324"/>
      <c r="AR72" s="326"/>
      <c r="AS72" s="326"/>
      <c r="AT72" s="327"/>
      <c r="AU72" s="326"/>
      <c r="AV72" s="330"/>
      <c r="AW72" s="326"/>
      <c r="AX72" s="331"/>
      <c r="AY72" s="326"/>
      <c r="AZ72" s="329"/>
      <c r="BA72" s="166"/>
      <c r="BB72" s="91"/>
    </row>
    <row r="73" spans="1:54" s="3" customFormat="1" ht="14.1" customHeight="1">
      <c r="A73" s="70">
        <v>46068</v>
      </c>
      <c r="B73" s="457"/>
      <c r="C73" s="457"/>
      <c r="D73" s="440"/>
      <c r="E73" s="440"/>
      <c r="F73" s="440"/>
      <c r="G73" s="440"/>
      <c r="H73" s="440"/>
      <c r="I73" s="440"/>
      <c r="J73" s="440"/>
      <c r="K73" s="440"/>
      <c r="L73" s="440"/>
      <c r="M73" s="440"/>
      <c r="N73" s="440"/>
      <c r="O73" s="440"/>
      <c r="P73" s="440"/>
      <c r="Q73" s="440"/>
      <c r="R73" s="440"/>
      <c r="S73" s="440"/>
      <c r="T73" s="440"/>
      <c r="U73" s="440"/>
      <c r="V73" s="440"/>
      <c r="W73" s="440"/>
      <c r="X73" s="440"/>
      <c r="Y73" s="440"/>
      <c r="Z73" s="440"/>
      <c r="AA73" s="440"/>
      <c r="AB73" s="440"/>
      <c r="AC73" s="440"/>
      <c r="AD73" s="440"/>
      <c r="AE73" s="440"/>
      <c r="AF73" s="440"/>
      <c r="AG73" s="440"/>
      <c r="AH73" s="440"/>
      <c r="AI73" s="440"/>
      <c r="AJ73" s="441"/>
      <c r="AK73" s="102"/>
      <c r="AL73" s="105"/>
      <c r="AM73" s="134"/>
      <c r="AN73" s="194"/>
      <c r="AO73" s="323">
        <f t="shared" si="5"/>
        <v>46068</v>
      </c>
      <c r="AP73" s="78" t="str">
        <f t="shared" si="6"/>
        <v/>
      </c>
      <c r="AQ73" s="324"/>
      <c r="AR73" s="326"/>
      <c r="AS73" s="326"/>
      <c r="AT73" s="327"/>
      <c r="AU73" s="326"/>
      <c r="AV73" s="330"/>
      <c r="AW73" s="326"/>
      <c r="AX73" s="331"/>
      <c r="AY73" s="326"/>
      <c r="AZ73" s="329"/>
      <c r="BA73" s="166"/>
      <c r="BB73" s="92"/>
    </row>
    <row r="74" spans="1:54" s="3" customFormat="1" ht="57.95">
      <c r="A74" s="111">
        <v>46069</v>
      </c>
      <c r="B74" s="454" t="s">
        <v>68</v>
      </c>
      <c r="C74" s="454"/>
      <c r="D74" s="455" t="s">
        <v>69</v>
      </c>
      <c r="E74" s="455"/>
      <c r="F74" s="455"/>
      <c r="G74" s="455"/>
      <c r="H74" s="455"/>
      <c r="I74" s="455"/>
      <c r="J74" s="455"/>
      <c r="K74" s="455"/>
      <c r="L74" s="455"/>
      <c r="M74" s="455"/>
      <c r="N74" s="455"/>
      <c r="O74" s="455"/>
      <c r="P74" s="455"/>
      <c r="Q74" s="455"/>
      <c r="R74" s="455"/>
      <c r="S74" s="455"/>
      <c r="T74" s="455"/>
      <c r="U74" s="455"/>
      <c r="V74" s="455"/>
      <c r="W74" s="455"/>
      <c r="X74" s="455"/>
      <c r="Y74" s="455"/>
      <c r="Z74" s="455"/>
      <c r="AA74" s="455"/>
      <c r="AB74" s="455"/>
      <c r="AC74" s="455"/>
      <c r="AD74" s="455"/>
      <c r="AE74" s="455"/>
      <c r="AF74" s="455"/>
      <c r="AG74" s="455"/>
      <c r="AH74" s="455"/>
      <c r="AI74" s="455"/>
      <c r="AJ74" s="456"/>
      <c r="AK74" s="112">
        <v>78.48</v>
      </c>
      <c r="AL74" s="113">
        <v>6</v>
      </c>
      <c r="AM74" s="135">
        <f>IF(AL74="CO", "CO", IF(COUNTIF(AO:AO, A74)=0, 0, (8-SUMIF(AO:AO, A74, AL:AL)) / COUNTIF(AO:AO, A74)))</f>
        <v>2</v>
      </c>
      <c r="AN74" s="214" t="s">
        <v>140</v>
      </c>
      <c r="AO74" s="307">
        <f t="shared" si="5"/>
        <v>46069</v>
      </c>
      <c r="AP74" s="114" t="str">
        <f t="shared" si="6"/>
        <v xml:space="preserve">SA1.1 </v>
      </c>
      <c r="AQ74" s="308" t="s">
        <v>71</v>
      </c>
      <c r="AR74" s="309" t="s">
        <v>101</v>
      </c>
      <c r="AS74" s="309" t="s">
        <v>78</v>
      </c>
      <c r="AT74" s="310" t="s">
        <v>141</v>
      </c>
      <c r="AU74" s="309"/>
      <c r="AV74" s="320"/>
      <c r="AW74" s="309"/>
      <c r="AX74" s="333"/>
      <c r="AY74" s="309"/>
      <c r="AZ74" s="312"/>
      <c r="BA74" s="167"/>
      <c r="BB74" s="119"/>
    </row>
    <row r="75" spans="1:54" s="3" customFormat="1" ht="57.95">
      <c r="A75" s="111">
        <v>46070</v>
      </c>
      <c r="B75" s="454" t="s">
        <v>68</v>
      </c>
      <c r="C75" s="454"/>
      <c r="D75" s="455" t="s">
        <v>69</v>
      </c>
      <c r="E75" s="455"/>
      <c r="F75" s="455"/>
      <c r="G75" s="455"/>
      <c r="H75" s="455"/>
      <c r="I75" s="455"/>
      <c r="J75" s="455"/>
      <c r="K75" s="455"/>
      <c r="L75" s="455"/>
      <c r="M75" s="455"/>
      <c r="N75" s="455"/>
      <c r="O75" s="455"/>
      <c r="P75" s="455"/>
      <c r="Q75" s="455"/>
      <c r="R75" s="455"/>
      <c r="S75" s="455"/>
      <c r="T75" s="455"/>
      <c r="U75" s="455"/>
      <c r="V75" s="455"/>
      <c r="W75" s="455"/>
      <c r="X75" s="455"/>
      <c r="Y75" s="455"/>
      <c r="Z75" s="455"/>
      <c r="AA75" s="455"/>
      <c r="AB75" s="455"/>
      <c r="AC75" s="455"/>
      <c r="AD75" s="455"/>
      <c r="AE75" s="455"/>
      <c r="AF75" s="455"/>
      <c r="AG75" s="455"/>
      <c r="AH75" s="455"/>
      <c r="AI75" s="455"/>
      <c r="AJ75" s="456"/>
      <c r="AK75" s="112">
        <v>78.48</v>
      </c>
      <c r="AL75" s="113">
        <v>8</v>
      </c>
      <c r="AM75" s="135">
        <f>IF(AL75="CO", "CO", IF(COUNTIF(AO:AO, A75)=0, 0, (8-SUMIF(AO:AO, A75, AL:AL)) / COUNTIF(AO:AO, A75)))</f>
        <v>0</v>
      </c>
      <c r="AN75" s="214" t="s">
        <v>142</v>
      </c>
      <c r="AO75" s="313">
        <f t="shared" si="5"/>
        <v>46070</v>
      </c>
      <c r="AP75" s="314" t="str">
        <f>LEFT(D75,6)</f>
        <v xml:space="preserve">SA1.1 </v>
      </c>
      <c r="AQ75" s="315" t="s">
        <v>71</v>
      </c>
      <c r="AR75" s="316" t="s">
        <v>143</v>
      </c>
      <c r="AS75" s="316" t="s">
        <v>73</v>
      </c>
      <c r="AT75" s="317" t="s">
        <v>144</v>
      </c>
      <c r="AU75" s="316"/>
      <c r="AV75" s="334"/>
      <c r="AW75" s="316"/>
      <c r="AX75" s="316"/>
      <c r="AY75" s="316"/>
      <c r="AZ75" s="319"/>
      <c r="BA75" s="167"/>
      <c r="BB75" s="121"/>
    </row>
    <row r="76" spans="1:54" s="3" customFormat="1" ht="27" customHeight="1">
      <c r="A76" s="111">
        <v>46071</v>
      </c>
      <c r="B76" s="458" t="s">
        <v>68</v>
      </c>
      <c r="C76" s="459"/>
      <c r="D76" s="455" t="s">
        <v>69</v>
      </c>
      <c r="E76" s="455"/>
      <c r="F76" s="455"/>
      <c r="G76" s="455"/>
      <c r="H76" s="455"/>
      <c r="I76" s="455"/>
      <c r="J76" s="455"/>
      <c r="K76" s="455"/>
      <c r="L76" s="455"/>
      <c r="M76" s="455"/>
      <c r="N76" s="455"/>
      <c r="O76" s="455"/>
      <c r="P76" s="455"/>
      <c r="Q76" s="455"/>
      <c r="R76" s="455"/>
      <c r="S76" s="455"/>
      <c r="T76" s="455"/>
      <c r="U76" s="455"/>
      <c r="V76" s="455"/>
      <c r="W76" s="455"/>
      <c r="X76" s="455"/>
      <c r="Y76" s="455"/>
      <c r="Z76" s="455"/>
      <c r="AA76" s="455"/>
      <c r="AB76" s="455"/>
      <c r="AC76" s="455"/>
      <c r="AD76" s="455"/>
      <c r="AE76" s="455"/>
      <c r="AF76" s="455"/>
      <c r="AG76" s="455"/>
      <c r="AH76" s="455"/>
      <c r="AI76" s="455"/>
      <c r="AJ76" s="456"/>
      <c r="AK76" s="112">
        <v>78.48</v>
      </c>
      <c r="AL76" s="113">
        <v>2</v>
      </c>
      <c r="AM76" s="135">
        <f>IF(AL76="CO", "CO", IF(COUNTIF(AO:AO, A76)=0, 0, (8-SUMIF(AO:AO, A76, AL:AL)) / COUNTIF(AO:AO, A76)))</f>
        <v>6</v>
      </c>
      <c r="AN76" s="215" t="s">
        <v>145</v>
      </c>
      <c r="AO76" s="307">
        <f t="shared" si="5"/>
        <v>46071</v>
      </c>
      <c r="AP76" s="114" t="str">
        <f t="shared" si="6"/>
        <v xml:space="preserve">SA1.1 </v>
      </c>
      <c r="AQ76" s="308" t="s">
        <v>71</v>
      </c>
      <c r="AR76" s="309"/>
      <c r="AS76" s="309" t="s">
        <v>73</v>
      </c>
      <c r="AT76" s="338" t="s">
        <v>146</v>
      </c>
      <c r="AU76" s="309"/>
      <c r="AV76" s="309"/>
      <c r="AW76" s="309"/>
      <c r="AX76" s="333"/>
      <c r="AY76" s="309"/>
      <c r="AZ76" s="312"/>
      <c r="BA76" s="167"/>
      <c r="BB76" s="117"/>
    </row>
    <row r="77" spans="1:54" s="3" customFormat="1" ht="87">
      <c r="A77" s="111">
        <v>46072</v>
      </c>
      <c r="B77" s="458" t="s">
        <v>68</v>
      </c>
      <c r="C77" s="459"/>
      <c r="D77" s="455" t="s">
        <v>69</v>
      </c>
      <c r="E77" s="455"/>
      <c r="F77" s="455"/>
      <c r="G77" s="455"/>
      <c r="H77" s="455"/>
      <c r="I77" s="455"/>
      <c r="J77" s="455"/>
      <c r="K77" s="455"/>
      <c r="L77" s="455"/>
      <c r="M77" s="455"/>
      <c r="N77" s="455"/>
      <c r="O77" s="455"/>
      <c r="P77" s="455"/>
      <c r="Q77" s="455"/>
      <c r="R77" s="455"/>
      <c r="S77" s="455"/>
      <c r="T77" s="455"/>
      <c r="U77" s="455"/>
      <c r="V77" s="455"/>
      <c r="W77" s="455"/>
      <c r="X77" s="455"/>
      <c r="Y77" s="455"/>
      <c r="Z77" s="455"/>
      <c r="AA77" s="455"/>
      <c r="AB77" s="455"/>
      <c r="AC77" s="455"/>
      <c r="AD77" s="455"/>
      <c r="AE77" s="455"/>
      <c r="AF77" s="455"/>
      <c r="AG77" s="455"/>
      <c r="AH77" s="455"/>
      <c r="AI77" s="455"/>
      <c r="AJ77" s="456"/>
      <c r="AK77" s="112">
        <v>78.48</v>
      </c>
      <c r="AL77" s="113">
        <v>5</v>
      </c>
      <c r="AM77" s="135">
        <f>IF(AL77="CO", "CO", IF(COUNTIF(AO:AO, A77)=0, 0, (8-SUMIF(AO:AO, A77, AL:AL)) / COUNTIF(AO:AO, A77)))</f>
        <v>3</v>
      </c>
      <c r="AN77" s="212" t="s">
        <v>147</v>
      </c>
      <c r="AO77" s="313">
        <f t="shared" si="5"/>
        <v>46072</v>
      </c>
      <c r="AP77" s="314" t="str">
        <f t="shared" si="6"/>
        <v xml:space="preserve">SA1.1 </v>
      </c>
      <c r="AQ77" s="315" t="s">
        <v>76</v>
      </c>
      <c r="AR77" s="316" t="s">
        <v>77</v>
      </c>
      <c r="AS77" s="316" t="s">
        <v>78</v>
      </c>
      <c r="AT77" s="317" t="s">
        <v>148</v>
      </c>
      <c r="AU77" s="316"/>
      <c r="AV77" s="334"/>
      <c r="AW77" s="316"/>
      <c r="AX77" s="316"/>
      <c r="AY77" s="316"/>
      <c r="AZ77" s="319"/>
      <c r="BA77" s="167"/>
      <c r="BB77" s="117"/>
    </row>
    <row r="78" spans="1:54" s="3" customFormat="1" ht="14.45">
      <c r="A78" s="111">
        <v>46073</v>
      </c>
      <c r="B78" s="454" t="s">
        <v>68</v>
      </c>
      <c r="C78" s="454"/>
      <c r="D78" s="455" t="s">
        <v>69</v>
      </c>
      <c r="E78" s="455"/>
      <c r="F78" s="455"/>
      <c r="G78" s="455"/>
      <c r="H78" s="455"/>
      <c r="I78" s="455"/>
      <c r="J78" s="455"/>
      <c r="K78" s="455"/>
      <c r="L78" s="455"/>
      <c r="M78" s="455"/>
      <c r="N78" s="455"/>
      <c r="O78" s="455"/>
      <c r="P78" s="455"/>
      <c r="Q78" s="455"/>
      <c r="R78" s="455"/>
      <c r="S78" s="455"/>
      <c r="T78" s="455"/>
      <c r="U78" s="455"/>
      <c r="V78" s="455"/>
      <c r="W78" s="455"/>
      <c r="X78" s="455"/>
      <c r="Y78" s="455"/>
      <c r="Z78" s="455"/>
      <c r="AA78" s="455"/>
      <c r="AB78" s="455"/>
      <c r="AC78" s="455"/>
      <c r="AD78" s="455"/>
      <c r="AE78" s="455"/>
      <c r="AF78" s="455"/>
      <c r="AG78" s="455"/>
      <c r="AH78" s="455"/>
      <c r="AI78" s="455"/>
      <c r="AJ78" s="456"/>
      <c r="AK78" s="112">
        <v>78.48</v>
      </c>
      <c r="AL78" s="113"/>
      <c r="AM78" s="135">
        <f>IF(AL78="CO", "CO", IF(COUNTIF(AO:AO, A78)=0, 0, (8-SUMIF(AO:AO, A78, AL:AL)) / COUNTIF(AO:AO, A78)))</f>
        <v>8</v>
      </c>
      <c r="AN78" s="216"/>
      <c r="AO78" s="307">
        <f t="shared" si="5"/>
        <v>46073</v>
      </c>
      <c r="AP78" s="114" t="str">
        <f>LEFT(D78,6)</f>
        <v xml:space="preserve">SA1.1 </v>
      </c>
      <c r="AQ78" s="308"/>
      <c r="AR78" s="309"/>
      <c r="AS78" s="309"/>
      <c r="AT78" s="310"/>
      <c r="AU78" s="309"/>
      <c r="AV78" s="311"/>
      <c r="AW78" s="309"/>
      <c r="AX78" s="309"/>
      <c r="AY78" s="309"/>
      <c r="AZ78" s="312"/>
      <c r="BA78" s="167"/>
      <c r="BB78" s="121"/>
    </row>
    <row r="79" spans="1:54" s="3" customFormat="1" ht="14.1" customHeight="1">
      <c r="A79" s="70">
        <v>46074</v>
      </c>
      <c r="B79" s="457"/>
      <c r="C79" s="457"/>
      <c r="D79" s="440"/>
      <c r="E79" s="440"/>
      <c r="F79" s="440"/>
      <c r="G79" s="440"/>
      <c r="H79" s="440"/>
      <c r="I79" s="440"/>
      <c r="J79" s="440"/>
      <c r="K79" s="440"/>
      <c r="L79" s="440"/>
      <c r="M79" s="440"/>
      <c r="N79" s="440"/>
      <c r="O79" s="440"/>
      <c r="P79" s="440"/>
      <c r="Q79" s="440"/>
      <c r="R79" s="440"/>
      <c r="S79" s="440"/>
      <c r="T79" s="440"/>
      <c r="U79" s="440"/>
      <c r="V79" s="440"/>
      <c r="W79" s="440"/>
      <c r="X79" s="440"/>
      <c r="Y79" s="440"/>
      <c r="Z79" s="440"/>
      <c r="AA79" s="440"/>
      <c r="AB79" s="440"/>
      <c r="AC79" s="440"/>
      <c r="AD79" s="440"/>
      <c r="AE79" s="440"/>
      <c r="AF79" s="440"/>
      <c r="AG79" s="440"/>
      <c r="AH79" s="440"/>
      <c r="AI79" s="440"/>
      <c r="AJ79" s="441"/>
      <c r="AK79" s="102"/>
      <c r="AL79" s="105"/>
      <c r="AM79" s="134"/>
      <c r="AN79" s="184"/>
      <c r="AO79" s="323">
        <f>A79</f>
        <v>46074</v>
      </c>
      <c r="AP79" s="78" t="str">
        <f>LEFT(D79,6)</f>
        <v/>
      </c>
      <c r="AQ79" s="324"/>
      <c r="AR79" s="326"/>
      <c r="AS79" s="326"/>
      <c r="AT79" s="327"/>
      <c r="AU79" s="326"/>
      <c r="AV79" s="328"/>
      <c r="AW79" s="326"/>
      <c r="AX79" s="326"/>
      <c r="AY79" s="326"/>
      <c r="AZ79" s="329"/>
      <c r="BA79" s="166"/>
      <c r="BB79" s="91"/>
    </row>
    <row r="80" spans="1:54" s="3" customFormat="1" ht="14.1" customHeight="1">
      <c r="A80" s="70">
        <v>46075</v>
      </c>
      <c r="B80" s="457"/>
      <c r="C80" s="457"/>
      <c r="D80" s="440"/>
      <c r="E80" s="440"/>
      <c r="F80" s="440"/>
      <c r="G80" s="440"/>
      <c r="H80" s="440"/>
      <c r="I80" s="440"/>
      <c r="J80" s="440"/>
      <c r="K80" s="440"/>
      <c r="L80" s="440"/>
      <c r="M80" s="440"/>
      <c r="N80" s="440"/>
      <c r="O80" s="440"/>
      <c r="P80" s="440"/>
      <c r="Q80" s="440"/>
      <c r="R80" s="440"/>
      <c r="S80" s="440"/>
      <c r="T80" s="440"/>
      <c r="U80" s="440"/>
      <c r="V80" s="440"/>
      <c r="W80" s="440"/>
      <c r="X80" s="440"/>
      <c r="Y80" s="440"/>
      <c r="Z80" s="440"/>
      <c r="AA80" s="440"/>
      <c r="AB80" s="440"/>
      <c r="AC80" s="440"/>
      <c r="AD80" s="440"/>
      <c r="AE80" s="440"/>
      <c r="AF80" s="440"/>
      <c r="AG80" s="440"/>
      <c r="AH80" s="440"/>
      <c r="AI80" s="440"/>
      <c r="AJ80" s="441"/>
      <c r="AK80" s="102"/>
      <c r="AL80" s="105"/>
      <c r="AM80" s="134"/>
      <c r="AN80" s="144"/>
      <c r="AO80" s="323">
        <f t="shared" si="5"/>
        <v>46075</v>
      </c>
      <c r="AP80" s="78" t="str">
        <f t="shared" si="6"/>
        <v/>
      </c>
      <c r="AQ80" s="324"/>
      <c r="AR80" s="326"/>
      <c r="AS80" s="326"/>
      <c r="AT80" s="339"/>
      <c r="AU80" s="326"/>
      <c r="AV80" s="328"/>
      <c r="AW80" s="326"/>
      <c r="AX80" s="326"/>
      <c r="AY80" s="326"/>
      <c r="AZ80" s="329"/>
      <c r="BA80" s="166"/>
      <c r="BB80" s="91"/>
    </row>
    <row r="81" spans="1:66" s="3" customFormat="1" ht="91.5">
      <c r="A81" s="111">
        <v>46076</v>
      </c>
      <c r="B81" s="454" t="s">
        <v>68</v>
      </c>
      <c r="C81" s="454"/>
      <c r="D81" s="455" t="s">
        <v>69</v>
      </c>
      <c r="E81" s="455"/>
      <c r="F81" s="455"/>
      <c r="G81" s="455"/>
      <c r="H81" s="455"/>
      <c r="I81" s="455"/>
      <c r="J81" s="455"/>
      <c r="K81" s="455"/>
      <c r="L81" s="455"/>
      <c r="M81" s="455"/>
      <c r="N81" s="455"/>
      <c r="O81" s="455"/>
      <c r="P81" s="455"/>
      <c r="Q81" s="455"/>
      <c r="R81" s="455"/>
      <c r="S81" s="455"/>
      <c r="T81" s="455"/>
      <c r="U81" s="455"/>
      <c r="V81" s="455"/>
      <c r="W81" s="455"/>
      <c r="X81" s="455"/>
      <c r="Y81" s="455"/>
      <c r="Z81" s="455"/>
      <c r="AA81" s="455"/>
      <c r="AB81" s="455"/>
      <c r="AC81" s="455"/>
      <c r="AD81" s="455"/>
      <c r="AE81" s="455"/>
      <c r="AF81" s="455"/>
      <c r="AG81" s="455"/>
      <c r="AH81" s="455"/>
      <c r="AI81" s="455"/>
      <c r="AJ81" s="456"/>
      <c r="AK81" s="112">
        <v>78.48</v>
      </c>
      <c r="AL81" s="113">
        <v>5</v>
      </c>
      <c r="AM81" s="135">
        <f t="shared" ref="AM81:AM87" si="8">IF(AL81="CO", "CO", IF(COUNTIF(AO:AO, A81)=0, 0, (8-SUMIF(AO:AO, A81, AL:AL)) / COUNTIF(AO:AO, A81)))</f>
        <v>0</v>
      </c>
      <c r="AN81" s="212" t="s">
        <v>149</v>
      </c>
      <c r="AO81" s="313">
        <f t="shared" si="5"/>
        <v>46076</v>
      </c>
      <c r="AP81" s="314" t="str">
        <f t="shared" si="6"/>
        <v xml:space="preserve">SA1.1 </v>
      </c>
      <c r="AQ81" s="315" t="s">
        <v>76</v>
      </c>
      <c r="AR81" s="316" t="s">
        <v>77</v>
      </c>
      <c r="AS81" s="316" t="s">
        <v>78</v>
      </c>
      <c r="AT81" s="340" t="s">
        <v>150</v>
      </c>
      <c r="AU81" s="316"/>
      <c r="AV81" s="334"/>
      <c r="AW81" s="316"/>
      <c r="AX81" s="316"/>
      <c r="AY81" s="316"/>
      <c r="AZ81" s="319"/>
      <c r="BA81" s="167"/>
      <c r="BB81" s="117"/>
    </row>
    <row r="82" spans="1:66" s="3" customFormat="1" ht="45.75">
      <c r="A82" s="111">
        <v>46076</v>
      </c>
      <c r="B82" s="454" t="s">
        <v>68</v>
      </c>
      <c r="C82" s="454"/>
      <c r="D82" s="455" t="s">
        <v>69</v>
      </c>
      <c r="E82" s="455"/>
      <c r="F82" s="455"/>
      <c r="G82" s="455"/>
      <c r="H82" s="455"/>
      <c r="I82" s="455"/>
      <c r="J82" s="455"/>
      <c r="K82" s="455"/>
      <c r="L82" s="455"/>
      <c r="M82" s="455"/>
      <c r="N82" s="455"/>
      <c r="O82" s="455"/>
      <c r="P82" s="455"/>
      <c r="Q82" s="455"/>
      <c r="R82" s="455"/>
      <c r="S82" s="455"/>
      <c r="T82" s="455"/>
      <c r="U82" s="455"/>
      <c r="V82" s="455"/>
      <c r="W82" s="455"/>
      <c r="X82" s="455"/>
      <c r="Y82" s="455"/>
      <c r="Z82" s="455"/>
      <c r="AA82" s="455"/>
      <c r="AB82" s="455"/>
      <c r="AC82" s="455"/>
      <c r="AD82" s="455"/>
      <c r="AE82" s="455"/>
      <c r="AF82" s="455"/>
      <c r="AG82" s="455"/>
      <c r="AH82" s="455"/>
      <c r="AI82" s="455"/>
      <c r="AJ82" s="456"/>
      <c r="AK82" s="112">
        <v>78.48</v>
      </c>
      <c r="AL82" s="113">
        <v>3</v>
      </c>
      <c r="AM82" s="135">
        <f t="shared" si="8"/>
        <v>0</v>
      </c>
      <c r="AN82" s="212" t="s">
        <v>151</v>
      </c>
      <c r="AO82" s="307">
        <f t="shared" ref="AO82" si="9">A82</f>
        <v>46076</v>
      </c>
      <c r="AP82" s="114" t="str">
        <f t="shared" ref="AP82" si="10">LEFT(D82,6)</f>
        <v xml:space="preserve">SA1.1 </v>
      </c>
      <c r="AQ82" s="308" t="s">
        <v>76</v>
      </c>
      <c r="AR82" s="309" t="s">
        <v>77</v>
      </c>
      <c r="AS82" s="309" t="s">
        <v>78</v>
      </c>
      <c r="AT82" s="341" t="s">
        <v>152</v>
      </c>
      <c r="AU82" s="309"/>
      <c r="AV82" s="311"/>
      <c r="AW82" s="309"/>
      <c r="AX82" s="309"/>
      <c r="AY82" s="309"/>
      <c r="AZ82" s="312"/>
      <c r="BA82" s="167"/>
      <c r="BB82" s="117"/>
    </row>
    <row r="83" spans="1:66" s="3" customFormat="1" ht="91.5">
      <c r="A83" s="111">
        <v>46077</v>
      </c>
      <c r="B83" s="454" t="s">
        <v>68</v>
      </c>
      <c r="C83" s="454"/>
      <c r="D83" s="455" t="s">
        <v>69</v>
      </c>
      <c r="E83" s="455"/>
      <c r="F83" s="455"/>
      <c r="G83" s="455"/>
      <c r="H83" s="455"/>
      <c r="I83" s="455"/>
      <c r="J83" s="455"/>
      <c r="K83" s="455"/>
      <c r="L83" s="455"/>
      <c r="M83" s="455"/>
      <c r="N83" s="455"/>
      <c r="O83" s="455"/>
      <c r="P83" s="455"/>
      <c r="Q83" s="455"/>
      <c r="R83" s="455"/>
      <c r="S83" s="455"/>
      <c r="T83" s="455"/>
      <c r="U83" s="455"/>
      <c r="V83" s="455"/>
      <c r="W83" s="455"/>
      <c r="X83" s="455"/>
      <c r="Y83" s="455"/>
      <c r="Z83" s="455"/>
      <c r="AA83" s="455"/>
      <c r="AB83" s="455"/>
      <c r="AC83" s="455"/>
      <c r="AD83" s="455"/>
      <c r="AE83" s="455"/>
      <c r="AF83" s="455"/>
      <c r="AG83" s="455"/>
      <c r="AH83" s="455"/>
      <c r="AI83" s="455"/>
      <c r="AJ83" s="456"/>
      <c r="AK83" s="112">
        <v>78.48</v>
      </c>
      <c r="AL83" s="113">
        <v>5</v>
      </c>
      <c r="AM83" s="135">
        <f t="shared" si="8"/>
        <v>3</v>
      </c>
      <c r="AN83" s="217" t="s">
        <v>153</v>
      </c>
      <c r="AO83" s="313">
        <f t="shared" si="5"/>
        <v>46077</v>
      </c>
      <c r="AP83" s="314" t="str">
        <f t="shared" si="6"/>
        <v xml:space="preserve">SA1.1 </v>
      </c>
      <c r="AQ83" s="315" t="s">
        <v>76</v>
      </c>
      <c r="AR83" s="316" t="s">
        <v>77</v>
      </c>
      <c r="AS83" s="316" t="s">
        <v>78</v>
      </c>
      <c r="AT83" s="317" t="s">
        <v>154</v>
      </c>
      <c r="AU83" s="342"/>
      <c r="AV83" s="318"/>
      <c r="AW83" s="316"/>
      <c r="AX83" s="316"/>
      <c r="AY83" s="316"/>
      <c r="AZ83" s="319"/>
      <c r="BA83" s="167"/>
      <c r="BB83" s="117"/>
    </row>
    <row r="84" spans="1:66" s="3" customFormat="1" ht="57.95">
      <c r="A84" s="111">
        <v>46078</v>
      </c>
      <c r="B84" s="454" t="s">
        <v>68</v>
      </c>
      <c r="C84" s="454"/>
      <c r="D84" s="455" t="s">
        <v>69</v>
      </c>
      <c r="E84" s="455"/>
      <c r="F84" s="455"/>
      <c r="G84" s="455"/>
      <c r="H84" s="455"/>
      <c r="I84" s="455"/>
      <c r="J84" s="455"/>
      <c r="K84" s="455"/>
      <c r="L84" s="455"/>
      <c r="M84" s="455"/>
      <c r="N84" s="455"/>
      <c r="O84" s="455"/>
      <c r="P84" s="455"/>
      <c r="Q84" s="455"/>
      <c r="R84" s="455"/>
      <c r="S84" s="455"/>
      <c r="T84" s="455"/>
      <c r="U84" s="455"/>
      <c r="V84" s="455"/>
      <c r="W84" s="455"/>
      <c r="X84" s="455"/>
      <c r="Y84" s="455"/>
      <c r="Z84" s="455"/>
      <c r="AA84" s="455"/>
      <c r="AB84" s="455"/>
      <c r="AC84" s="455"/>
      <c r="AD84" s="455"/>
      <c r="AE84" s="455"/>
      <c r="AF84" s="455"/>
      <c r="AG84" s="455"/>
      <c r="AH84" s="455"/>
      <c r="AI84" s="455"/>
      <c r="AJ84" s="456"/>
      <c r="AK84" s="112">
        <v>78.48</v>
      </c>
      <c r="AL84" s="113">
        <v>4</v>
      </c>
      <c r="AM84" s="135">
        <f t="shared" si="8"/>
        <v>4</v>
      </c>
      <c r="AN84" s="146" t="s">
        <v>155</v>
      </c>
      <c r="AO84" s="307">
        <f t="shared" si="5"/>
        <v>46078</v>
      </c>
      <c r="AP84" s="114" t="str">
        <f t="shared" si="6"/>
        <v xml:space="preserve">SA1.1 </v>
      </c>
      <c r="AQ84" s="308" t="s">
        <v>76</v>
      </c>
      <c r="AR84" s="309" t="s">
        <v>77</v>
      </c>
      <c r="AS84" s="309" t="s">
        <v>78</v>
      </c>
      <c r="AT84" s="310" t="s">
        <v>156</v>
      </c>
      <c r="AU84" s="343" t="s">
        <v>157</v>
      </c>
      <c r="AV84" s="344" t="s">
        <v>158</v>
      </c>
      <c r="AW84" s="309"/>
      <c r="AX84" s="309"/>
      <c r="AY84" s="309"/>
      <c r="AZ84" s="312"/>
      <c r="BA84" s="167"/>
      <c r="BB84" s="117"/>
      <c r="BN84" s="255"/>
    </row>
    <row r="85" spans="1:66" s="3" customFormat="1" ht="106.5">
      <c r="A85" s="111">
        <v>46079</v>
      </c>
      <c r="B85" s="458" t="s">
        <v>68</v>
      </c>
      <c r="C85" s="459"/>
      <c r="D85" s="455" t="s">
        <v>69</v>
      </c>
      <c r="E85" s="455"/>
      <c r="F85" s="455"/>
      <c r="G85" s="455"/>
      <c r="H85" s="455"/>
      <c r="I85" s="455"/>
      <c r="J85" s="455"/>
      <c r="K85" s="455"/>
      <c r="L85" s="455"/>
      <c r="M85" s="455"/>
      <c r="N85" s="455"/>
      <c r="O85" s="455"/>
      <c r="P85" s="455"/>
      <c r="Q85" s="455"/>
      <c r="R85" s="455"/>
      <c r="S85" s="455"/>
      <c r="T85" s="455"/>
      <c r="U85" s="455"/>
      <c r="V85" s="455"/>
      <c r="W85" s="455"/>
      <c r="X85" s="455"/>
      <c r="Y85" s="455"/>
      <c r="Z85" s="455"/>
      <c r="AA85" s="455"/>
      <c r="AB85" s="455"/>
      <c r="AC85" s="455"/>
      <c r="AD85" s="455"/>
      <c r="AE85" s="455"/>
      <c r="AF85" s="455"/>
      <c r="AG85" s="455"/>
      <c r="AH85" s="455"/>
      <c r="AI85" s="455"/>
      <c r="AJ85" s="456"/>
      <c r="AK85" s="112">
        <v>78.48</v>
      </c>
      <c r="AL85" s="113">
        <v>8</v>
      </c>
      <c r="AM85" s="135">
        <f t="shared" si="8"/>
        <v>0</v>
      </c>
      <c r="AN85" s="213" t="s">
        <v>159</v>
      </c>
      <c r="AO85" s="313">
        <f t="shared" si="5"/>
        <v>46079</v>
      </c>
      <c r="AP85" s="314" t="str">
        <f t="shared" si="6"/>
        <v xml:space="preserve">SA1.1 </v>
      </c>
      <c r="AQ85" s="315" t="s">
        <v>76</v>
      </c>
      <c r="AR85" s="316" t="s">
        <v>77</v>
      </c>
      <c r="AS85" s="316" t="s">
        <v>78</v>
      </c>
      <c r="AT85" s="317" t="s">
        <v>160</v>
      </c>
      <c r="AU85" s="342"/>
      <c r="AV85" s="334"/>
      <c r="AW85" s="316"/>
      <c r="AX85" s="316"/>
      <c r="AY85" s="316"/>
      <c r="AZ85" s="319"/>
      <c r="BA85" s="167"/>
      <c r="BB85" s="117"/>
    </row>
    <row r="86" spans="1:66" s="3" customFormat="1" ht="116.1">
      <c r="A86" s="111">
        <v>46080</v>
      </c>
      <c r="B86" s="458" t="s">
        <v>68</v>
      </c>
      <c r="C86" s="459"/>
      <c r="D86" s="455" t="s">
        <v>69</v>
      </c>
      <c r="E86" s="455"/>
      <c r="F86" s="455"/>
      <c r="G86" s="455"/>
      <c r="H86" s="455"/>
      <c r="I86" s="455"/>
      <c r="J86" s="455"/>
      <c r="K86" s="455"/>
      <c r="L86" s="455"/>
      <c r="M86" s="455"/>
      <c r="N86" s="455"/>
      <c r="O86" s="455"/>
      <c r="P86" s="455"/>
      <c r="Q86" s="455"/>
      <c r="R86" s="455"/>
      <c r="S86" s="455"/>
      <c r="T86" s="455"/>
      <c r="U86" s="455"/>
      <c r="V86" s="455"/>
      <c r="W86" s="455"/>
      <c r="X86" s="455"/>
      <c r="Y86" s="455"/>
      <c r="Z86" s="455"/>
      <c r="AA86" s="455"/>
      <c r="AB86" s="455"/>
      <c r="AC86" s="455"/>
      <c r="AD86" s="455"/>
      <c r="AE86" s="455"/>
      <c r="AF86" s="455"/>
      <c r="AG86" s="455"/>
      <c r="AH86" s="455"/>
      <c r="AI86" s="455"/>
      <c r="AJ86" s="456"/>
      <c r="AK86" s="112">
        <v>78.48</v>
      </c>
      <c r="AL86" s="113">
        <v>6</v>
      </c>
      <c r="AM86" s="135">
        <f t="shared" si="8"/>
        <v>0</v>
      </c>
      <c r="AN86" s="180" t="s">
        <v>161</v>
      </c>
      <c r="AO86" s="307">
        <f t="shared" ref="AO86" si="11">A86</f>
        <v>46080</v>
      </c>
      <c r="AP86" s="114" t="str">
        <f t="shared" ref="AP86" si="12">LEFT(D86,6)</f>
        <v xml:space="preserve">SA1.1 </v>
      </c>
      <c r="AQ86" s="308" t="s">
        <v>76</v>
      </c>
      <c r="AR86" s="309" t="s">
        <v>77</v>
      </c>
      <c r="AS86" s="309" t="s">
        <v>78</v>
      </c>
      <c r="AT86" s="345" t="s">
        <v>162</v>
      </c>
      <c r="AU86" s="309"/>
      <c r="AV86" s="311"/>
      <c r="AW86" s="309"/>
      <c r="AX86" s="309"/>
      <c r="AY86" s="309"/>
      <c r="AZ86" s="312"/>
      <c r="BA86" s="167"/>
      <c r="BB86" s="117"/>
    </row>
    <row r="87" spans="1:66" s="3" customFormat="1" ht="27" customHeight="1">
      <c r="A87" s="111">
        <v>46080</v>
      </c>
      <c r="B87" s="458" t="s">
        <v>68</v>
      </c>
      <c r="C87" s="459"/>
      <c r="D87" s="455" t="s">
        <v>69</v>
      </c>
      <c r="E87" s="455"/>
      <c r="F87" s="455"/>
      <c r="G87" s="455"/>
      <c r="H87" s="455"/>
      <c r="I87" s="455"/>
      <c r="J87" s="455"/>
      <c r="K87" s="455"/>
      <c r="L87" s="455"/>
      <c r="M87" s="455"/>
      <c r="N87" s="455"/>
      <c r="O87" s="455"/>
      <c r="P87" s="455"/>
      <c r="Q87" s="455"/>
      <c r="R87" s="455"/>
      <c r="S87" s="455"/>
      <c r="T87" s="455"/>
      <c r="U87" s="455"/>
      <c r="V87" s="455"/>
      <c r="W87" s="455"/>
      <c r="X87" s="455"/>
      <c r="Y87" s="455"/>
      <c r="Z87" s="455"/>
      <c r="AA87" s="455"/>
      <c r="AB87" s="455"/>
      <c r="AC87" s="455"/>
      <c r="AD87" s="455"/>
      <c r="AE87" s="455"/>
      <c r="AF87" s="455"/>
      <c r="AG87" s="455"/>
      <c r="AH87" s="455"/>
      <c r="AI87" s="455"/>
      <c r="AJ87" s="456"/>
      <c r="AK87" s="112">
        <v>78.48</v>
      </c>
      <c r="AL87" s="113">
        <v>2</v>
      </c>
      <c r="AM87" s="135">
        <f t="shared" si="8"/>
        <v>0</v>
      </c>
      <c r="AN87" s="193" t="s">
        <v>117</v>
      </c>
      <c r="AO87" s="313">
        <f t="shared" si="5"/>
        <v>46080</v>
      </c>
      <c r="AP87" s="314" t="str">
        <f t="shared" si="6"/>
        <v xml:space="preserve">SA1.1 </v>
      </c>
      <c r="AQ87" s="315" t="s">
        <v>76</v>
      </c>
      <c r="AR87" s="316" t="s">
        <v>77</v>
      </c>
      <c r="AS87" s="316" t="s">
        <v>78</v>
      </c>
      <c r="AT87" s="346"/>
      <c r="AU87" s="316"/>
      <c r="AV87" s="334"/>
      <c r="AW87" s="316"/>
      <c r="AX87" s="316"/>
      <c r="AY87" s="316"/>
      <c r="AZ87" s="319"/>
      <c r="BA87" s="167"/>
      <c r="BB87" s="117"/>
    </row>
    <row r="88" spans="1:66" s="3" customFormat="1" ht="14.1" customHeight="1">
      <c r="A88" s="73">
        <v>46081</v>
      </c>
      <c r="B88" s="542"/>
      <c r="C88" s="543"/>
      <c r="D88" s="544"/>
      <c r="E88" s="545"/>
      <c r="F88" s="545"/>
      <c r="G88" s="545"/>
      <c r="H88" s="545"/>
      <c r="I88" s="545"/>
      <c r="J88" s="545"/>
      <c r="K88" s="545"/>
      <c r="L88" s="545"/>
      <c r="M88" s="545"/>
      <c r="N88" s="545"/>
      <c r="O88" s="545"/>
      <c r="P88" s="545"/>
      <c r="Q88" s="545"/>
      <c r="R88" s="545"/>
      <c r="S88" s="545"/>
      <c r="T88" s="545"/>
      <c r="U88" s="545"/>
      <c r="V88" s="545"/>
      <c r="W88" s="545"/>
      <c r="X88" s="545"/>
      <c r="Y88" s="545"/>
      <c r="Z88" s="545"/>
      <c r="AA88" s="545"/>
      <c r="AB88" s="545"/>
      <c r="AC88" s="545"/>
      <c r="AD88" s="545"/>
      <c r="AE88" s="545"/>
      <c r="AF88" s="545"/>
      <c r="AG88" s="545"/>
      <c r="AH88" s="545"/>
      <c r="AI88" s="545"/>
      <c r="AJ88" s="546"/>
      <c r="AK88" s="124"/>
      <c r="AL88" s="125"/>
      <c r="AM88" s="134"/>
      <c r="AN88" s="153"/>
      <c r="AO88" s="347">
        <f t="shared" si="5"/>
        <v>46081</v>
      </c>
      <c r="AP88" s="126" t="str">
        <f t="shared" si="6"/>
        <v/>
      </c>
      <c r="AQ88" s="348"/>
      <c r="AR88" s="203"/>
      <c r="AS88" s="203"/>
      <c r="AT88" s="203"/>
      <c r="AU88" s="203"/>
      <c r="AV88" s="349"/>
      <c r="AW88" s="203"/>
      <c r="AX88" s="203"/>
      <c r="AY88" s="203"/>
      <c r="AZ88" s="350"/>
      <c r="BA88" s="191"/>
      <c r="BB88" s="130"/>
    </row>
    <row r="89" spans="1:66" s="3" customFormat="1" ht="15" customHeight="1" thickBot="1">
      <c r="A89" s="446" t="s">
        <v>118</v>
      </c>
      <c r="B89" s="447"/>
      <c r="C89" s="447"/>
      <c r="D89" s="447"/>
      <c r="E89" s="447"/>
      <c r="F89" s="447"/>
      <c r="G89" s="447"/>
      <c r="H89" s="447"/>
      <c r="I89" s="447"/>
      <c r="J89" s="447"/>
      <c r="K89" s="447"/>
      <c r="L89" s="447"/>
      <c r="M89" s="447"/>
      <c r="N89" s="447"/>
      <c r="O89" s="447"/>
      <c r="P89" s="447"/>
      <c r="Q89" s="447"/>
      <c r="R89" s="447"/>
      <c r="S89" s="447"/>
      <c r="T89" s="447"/>
      <c r="U89" s="447"/>
      <c r="V89" s="447"/>
      <c r="W89" s="447"/>
      <c r="X89" s="447"/>
      <c r="Y89" s="447"/>
      <c r="Z89" s="447"/>
      <c r="AA89" s="447"/>
      <c r="AB89" s="447"/>
      <c r="AC89" s="447"/>
      <c r="AD89" s="447"/>
      <c r="AE89" s="447"/>
      <c r="AF89" s="447"/>
      <c r="AG89" s="447"/>
      <c r="AH89" s="447"/>
      <c r="AI89" s="447"/>
      <c r="AJ89" s="447"/>
      <c r="AK89" s="447"/>
      <c r="AL89" s="74">
        <f>SUM(AL58:AL88)+COUNTIF(AL58:AL88,"CO")*4</f>
        <v>80</v>
      </c>
      <c r="AM89" s="47">
        <f>SUM(AM58:AM88) + COUNTIF(AM58:AM88, "CO")*4</f>
        <v>80</v>
      </c>
      <c r="AO89" s="17"/>
      <c r="AP89" s="17"/>
      <c r="AT89" s="48"/>
      <c r="AV89" s="48"/>
    </row>
    <row r="90" spans="1:66" s="3" customFormat="1" ht="14.1" customHeight="1">
      <c r="A90" s="448" t="s">
        <v>119</v>
      </c>
      <c r="B90" s="449"/>
      <c r="C90" s="449"/>
      <c r="D90" s="449"/>
      <c r="E90" s="449"/>
      <c r="F90" s="449"/>
      <c r="G90" s="449"/>
      <c r="H90" s="449"/>
      <c r="I90" s="449"/>
      <c r="J90" s="449"/>
      <c r="K90" s="449"/>
      <c r="L90" s="449"/>
      <c r="M90" s="449"/>
      <c r="N90" s="449"/>
      <c r="O90" s="449"/>
      <c r="P90" s="449"/>
      <c r="Q90" s="449"/>
      <c r="R90" s="449"/>
      <c r="S90" s="449"/>
      <c r="T90" s="449"/>
      <c r="U90" s="449"/>
      <c r="V90" s="449"/>
      <c r="W90" s="449"/>
      <c r="X90" s="449"/>
      <c r="Y90" s="449"/>
      <c r="Z90" s="449"/>
      <c r="AA90" s="449"/>
      <c r="AB90" s="449"/>
      <c r="AC90" s="449"/>
      <c r="AD90" s="449"/>
      <c r="AE90" s="449"/>
      <c r="AF90" s="449"/>
      <c r="AG90" s="449"/>
      <c r="AH90" s="449"/>
      <c r="AI90" s="449"/>
      <c r="AJ90" s="449"/>
      <c r="AK90" s="449"/>
      <c r="AL90" s="449"/>
      <c r="AM90" s="450"/>
      <c r="AO90" s="17"/>
      <c r="AP90" s="17"/>
      <c r="AT90" s="48"/>
      <c r="AV90" s="48"/>
    </row>
    <row r="91" spans="1:66" s="3" customFormat="1" ht="14.85" customHeight="1" thickBot="1">
      <c r="A91" s="451"/>
      <c r="B91" s="452"/>
      <c r="C91" s="452"/>
      <c r="D91" s="452"/>
      <c r="E91" s="452"/>
      <c r="F91" s="452"/>
      <c r="G91" s="452"/>
      <c r="H91" s="452"/>
      <c r="I91" s="452"/>
      <c r="J91" s="452"/>
      <c r="K91" s="452"/>
      <c r="L91" s="452"/>
      <c r="M91" s="452"/>
      <c r="N91" s="452"/>
      <c r="O91" s="452"/>
      <c r="P91" s="452"/>
      <c r="Q91" s="452"/>
      <c r="R91" s="452"/>
      <c r="S91" s="452"/>
      <c r="T91" s="452"/>
      <c r="U91" s="452"/>
      <c r="V91" s="452"/>
      <c r="W91" s="452"/>
      <c r="X91" s="452"/>
      <c r="Y91" s="452"/>
      <c r="Z91" s="452"/>
      <c r="AA91" s="452"/>
      <c r="AB91" s="452"/>
      <c r="AC91" s="452"/>
      <c r="AD91" s="452"/>
      <c r="AE91" s="452"/>
      <c r="AF91" s="452"/>
      <c r="AG91" s="452"/>
      <c r="AH91" s="452"/>
      <c r="AI91" s="452"/>
      <c r="AJ91" s="452"/>
      <c r="AK91" s="452"/>
      <c r="AL91" s="452"/>
      <c r="AM91" s="453"/>
      <c r="AO91" s="17"/>
      <c r="AP91" s="17"/>
      <c r="AQ91" s="3" t="s">
        <v>36</v>
      </c>
      <c r="AT91" s="48"/>
      <c r="AV91" s="48"/>
    </row>
    <row r="92" spans="1:66" s="3" customFormat="1" ht="29.1" customHeight="1">
      <c r="A92" s="431" t="s">
        <v>120</v>
      </c>
      <c r="B92" s="432"/>
      <c r="C92" s="432"/>
      <c r="D92" s="433" t="s">
        <v>38</v>
      </c>
      <c r="E92" s="434"/>
      <c r="F92" s="434"/>
      <c r="G92" s="434"/>
      <c r="H92" s="434"/>
      <c r="I92" s="434"/>
      <c r="J92" s="434"/>
      <c r="K92" s="434"/>
      <c r="L92" s="434"/>
      <c r="M92" s="434"/>
      <c r="N92" s="434"/>
      <c r="O92" s="434"/>
      <c r="P92" s="434"/>
      <c r="Q92" s="434"/>
      <c r="R92" s="434"/>
      <c r="S92" s="434"/>
      <c r="T92" s="434"/>
      <c r="U92" s="434"/>
      <c r="V92" s="434"/>
      <c r="W92" s="434"/>
      <c r="X92" s="434"/>
      <c r="Y92" s="434"/>
      <c r="Z92" s="434"/>
      <c r="AA92" s="434"/>
      <c r="AB92" s="434"/>
      <c r="AC92" s="434"/>
      <c r="AD92" s="434"/>
      <c r="AE92" s="434"/>
      <c r="AF92" s="434"/>
      <c r="AG92" s="434"/>
      <c r="AH92" s="434"/>
      <c r="AI92" s="434"/>
      <c r="AJ92" s="434"/>
      <c r="AK92" s="434"/>
      <c r="AL92" s="434"/>
      <c r="AM92" s="435"/>
      <c r="AN92" s="3" t="s">
        <v>99</v>
      </c>
      <c r="AO92" s="17" t="s">
        <v>36</v>
      </c>
      <c r="AP92" s="17"/>
      <c r="AT92" s="48"/>
      <c r="AV92" s="48"/>
    </row>
    <row r="93" spans="1:66" s="3" customFormat="1" ht="29.1" customHeight="1">
      <c r="A93" s="420" t="s">
        <v>121</v>
      </c>
      <c r="B93" s="421"/>
      <c r="C93" s="421"/>
      <c r="D93" s="428"/>
      <c r="E93" s="429"/>
      <c r="F93" s="429"/>
      <c r="G93" s="429"/>
      <c r="H93" s="429"/>
      <c r="I93" s="429"/>
      <c r="J93" s="429"/>
      <c r="K93" s="429"/>
      <c r="L93" s="429"/>
      <c r="M93" s="429"/>
      <c r="N93" s="429"/>
      <c r="O93" s="429"/>
      <c r="P93" s="429"/>
      <c r="Q93" s="429"/>
      <c r="R93" s="429"/>
      <c r="S93" s="429"/>
      <c r="T93" s="429"/>
      <c r="U93" s="429"/>
      <c r="V93" s="429"/>
      <c r="W93" s="429"/>
      <c r="X93" s="429"/>
      <c r="Y93" s="429"/>
      <c r="Z93" s="429"/>
      <c r="AA93" s="429"/>
      <c r="AB93" s="429"/>
      <c r="AC93" s="429"/>
      <c r="AD93" s="429"/>
      <c r="AE93" s="429"/>
      <c r="AF93" s="429"/>
      <c r="AG93" s="429"/>
      <c r="AH93" s="429"/>
      <c r="AI93" s="429"/>
      <c r="AJ93" s="429"/>
      <c r="AK93" s="429"/>
      <c r="AL93" s="429"/>
      <c r="AM93" s="430"/>
      <c r="AO93" s="17"/>
      <c r="AP93" s="17"/>
      <c r="AT93" s="48"/>
      <c r="AV93" s="48"/>
    </row>
    <row r="94" spans="1:66" s="3" customFormat="1" ht="29.1" customHeight="1">
      <c r="A94" s="420" t="s">
        <v>122</v>
      </c>
      <c r="B94" s="421"/>
      <c r="C94" s="421"/>
      <c r="D94" s="436">
        <v>46080</v>
      </c>
      <c r="E94" s="437">
        <v>46080</v>
      </c>
      <c r="F94" s="437">
        <v>46080</v>
      </c>
      <c r="G94" s="437">
        <v>46080</v>
      </c>
      <c r="H94" s="437">
        <v>46080</v>
      </c>
      <c r="I94" s="437">
        <v>46080</v>
      </c>
      <c r="J94" s="437">
        <v>46080</v>
      </c>
      <c r="K94" s="437">
        <v>46080</v>
      </c>
      <c r="L94" s="437">
        <v>46080</v>
      </c>
      <c r="M94" s="437">
        <v>46080</v>
      </c>
      <c r="N94" s="437">
        <v>46080</v>
      </c>
      <c r="O94" s="437">
        <v>46080</v>
      </c>
      <c r="P94" s="437">
        <v>46080</v>
      </c>
      <c r="Q94" s="437">
        <v>46080</v>
      </c>
      <c r="R94" s="437">
        <v>46080</v>
      </c>
      <c r="S94" s="437">
        <v>46080</v>
      </c>
      <c r="T94" s="437">
        <v>46080</v>
      </c>
      <c r="U94" s="437">
        <v>46080</v>
      </c>
      <c r="V94" s="437">
        <v>46080</v>
      </c>
      <c r="W94" s="437">
        <v>46080</v>
      </c>
      <c r="X94" s="437">
        <v>46080</v>
      </c>
      <c r="Y94" s="437">
        <v>46080</v>
      </c>
      <c r="Z94" s="437">
        <v>46080</v>
      </c>
      <c r="AA94" s="437">
        <v>46080</v>
      </c>
      <c r="AB94" s="437">
        <v>46080</v>
      </c>
      <c r="AC94" s="437">
        <v>46080</v>
      </c>
      <c r="AD94" s="437">
        <v>46080</v>
      </c>
      <c r="AE94" s="437">
        <v>46080</v>
      </c>
      <c r="AF94" s="437">
        <v>46080</v>
      </c>
      <c r="AG94" s="437">
        <v>46080</v>
      </c>
      <c r="AH94" s="437">
        <v>46080</v>
      </c>
      <c r="AI94" s="437">
        <v>46080</v>
      </c>
      <c r="AJ94" s="437">
        <v>46080</v>
      </c>
      <c r="AK94" s="437">
        <v>46080</v>
      </c>
      <c r="AL94" s="437">
        <v>46080</v>
      </c>
      <c r="AM94" s="438">
        <v>46080</v>
      </c>
      <c r="AO94" s="17" t="s">
        <v>36</v>
      </c>
      <c r="AP94" s="17"/>
      <c r="AT94" s="48"/>
      <c r="AV94" s="48"/>
    </row>
    <row r="95" spans="1:66" s="3" customFormat="1" ht="12.95">
      <c r="A95" s="420"/>
      <c r="B95" s="421"/>
      <c r="C95" s="421"/>
      <c r="D95" s="422"/>
      <c r="E95" s="423"/>
      <c r="F95" s="423"/>
      <c r="G95" s="423"/>
      <c r="H95" s="423"/>
      <c r="I95" s="423"/>
      <c r="J95" s="423"/>
      <c r="K95" s="423"/>
      <c r="L95" s="423"/>
      <c r="M95" s="423"/>
      <c r="N95" s="423"/>
      <c r="O95" s="423"/>
      <c r="P95" s="423"/>
      <c r="Q95" s="423"/>
      <c r="R95" s="423"/>
      <c r="S95" s="423"/>
      <c r="T95" s="423"/>
      <c r="U95" s="423"/>
      <c r="V95" s="423"/>
      <c r="W95" s="423"/>
      <c r="X95" s="423"/>
      <c r="Y95" s="423"/>
      <c r="Z95" s="423"/>
      <c r="AA95" s="423"/>
      <c r="AB95" s="423"/>
      <c r="AC95" s="423"/>
      <c r="AD95" s="423"/>
      <c r="AE95" s="423"/>
      <c r="AF95" s="423"/>
      <c r="AG95" s="423"/>
      <c r="AH95" s="423"/>
      <c r="AI95" s="423"/>
      <c r="AJ95" s="423"/>
      <c r="AK95" s="423"/>
      <c r="AL95" s="423"/>
      <c r="AM95" s="424"/>
      <c r="AO95" s="17"/>
      <c r="AP95" s="17"/>
      <c r="AT95" s="48"/>
      <c r="AV95" s="48"/>
    </row>
    <row r="96" spans="1:66" s="3" customFormat="1" ht="29.1" customHeight="1">
      <c r="A96" s="420" t="s">
        <v>123</v>
      </c>
      <c r="B96" s="421"/>
      <c r="C96" s="421"/>
      <c r="D96" s="425" t="s">
        <v>124</v>
      </c>
      <c r="E96" s="426"/>
      <c r="F96" s="426"/>
      <c r="G96" s="426"/>
      <c r="H96" s="426"/>
      <c r="I96" s="426"/>
      <c r="J96" s="426"/>
      <c r="K96" s="426"/>
      <c r="L96" s="426"/>
      <c r="M96" s="426"/>
      <c r="N96" s="426"/>
      <c r="O96" s="426"/>
      <c r="P96" s="426"/>
      <c r="Q96" s="426"/>
      <c r="R96" s="426"/>
      <c r="S96" s="426"/>
      <c r="T96" s="426"/>
      <c r="U96" s="426"/>
      <c r="V96" s="426"/>
      <c r="W96" s="426"/>
      <c r="X96" s="426"/>
      <c r="Y96" s="426"/>
      <c r="Z96" s="426"/>
      <c r="AA96" s="426"/>
      <c r="AB96" s="426"/>
      <c r="AC96" s="426"/>
      <c r="AD96" s="426"/>
      <c r="AE96" s="426"/>
      <c r="AF96" s="426"/>
      <c r="AG96" s="426"/>
      <c r="AH96" s="426"/>
      <c r="AI96" s="426"/>
      <c r="AJ96" s="426"/>
      <c r="AK96" s="426"/>
      <c r="AL96" s="426"/>
      <c r="AM96" s="427"/>
      <c r="AO96" s="17"/>
      <c r="AP96" s="17"/>
      <c r="AT96" s="48"/>
      <c r="AV96" s="48"/>
    </row>
    <row r="97" spans="1:48" s="3" customFormat="1" ht="29.1" customHeight="1">
      <c r="A97" s="420" t="s">
        <v>121</v>
      </c>
      <c r="B97" s="421"/>
      <c r="C97" s="421"/>
      <c r="D97" s="428"/>
      <c r="E97" s="429"/>
      <c r="F97" s="429"/>
      <c r="G97" s="429"/>
      <c r="H97" s="429"/>
      <c r="I97" s="429"/>
      <c r="J97" s="429"/>
      <c r="K97" s="429"/>
      <c r="L97" s="429"/>
      <c r="M97" s="429"/>
      <c r="N97" s="429"/>
      <c r="O97" s="429"/>
      <c r="P97" s="429"/>
      <c r="Q97" s="429"/>
      <c r="R97" s="429"/>
      <c r="S97" s="429"/>
      <c r="T97" s="429"/>
      <c r="U97" s="429"/>
      <c r="V97" s="429"/>
      <c r="W97" s="429"/>
      <c r="X97" s="429"/>
      <c r="Y97" s="429"/>
      <c r="Z97" s="429"/>
      <c r="AA97" s="429"/>
      <c r="AB97" s="429"/>
      <c r="AC97" s="429"/>
      <c r="AD97" s="429"/>
      <c r="AE97" s="429"/>
      <c r="AF97" s="429"/>
      <c r="AG97" s="429"/>
      <c r="AH97" s="429"/>
      <c r="AI97" s="429"/>
      <c r="AJ97" s="429"/>
      <c r="AK97" s="429"/>
      <c r="AL97" s="429"/>
      <c r="AM97" s="430"/>
      <c r="AO97" s="17"/>
      <c r="AP97" s="17"/>
      <c r="AR97" s="3" t="s">
        <v>99</v>
      </c>
      <c r="AT97" s="48"/>
      <c r="AV97" s="48"/>
    </row>
    <row r="98" spans="1:48" s="3" customFormat="1" ht="29.1" customHeight="1" thickBot="1">
      <c r="A98" s="414" t="s">
        <v>122</v>
      </c>
      <c r="B98" s="415"/>
      <c r="C98" s="415"/>
      <c r="D98" s="416">
        <v>46080</v>
      </c>
      <c r="E98" s="417">
        <v>46080</v>
      </c>
      <c r="F98" s="417">
        <v>46080</v>
      </c>
      <c r="G98" s="417">
        <v>46080</v>
      </c>
      <c r="H98" s="417">
        <v>46080</v>
      </c>
      <c r="I98" s="417">
        <v>46080</v>
      </c>
      <c r="J98" s="417">
        <v>46080</v>
      </c>
      <c r="K98" s="417">
        <v>46080</v>
      </c>
      <c r="L98" s="417">
        <v>46080</v>
      </c>
      <c r="M98" s="417">
        <v>46080</v>
      </c>
      <c r="N98" s="417">
        <v>46080</v>
      </c>
      <c r="O98" s="417">
        <v>46080</v>
      </c>
      <c r="P98" s="417">
        <v>46080</v>
      </c>
      <c r="Q98" s="417">
        <v>46080</v>
      </c>
      <c r="R98" s="417">
        <v>46080</v>
      </c>
      <c r="S98" s="417">
        <v>46080</v>
      </c>
      <c r="T98" s="417">
        <v>46080</v>
      </c>
      <c r="U98" s="417">
        <v>46080</v>
      </c>
      <c r="V98" s="417">
        <v>46080</v>
      </c>
      <c r="W98" s="417">
        <v>46080</v>
      </c>
      <c r="X98" s="417">
        <v>46080</v>
      </c>
      <c r="Y98" s="417">
        <v>46080</v>
      </c>
      <c r="Z98" s="417">
        <v>46080</v>
      </c>
      <c r="AA98" s="417">
        <v>46080</v>
      </c>
      <c r="AB98" s="417">
        <v>46080</v>
      </c>
      <c r="AC98" s="417">
        <v>46080</v>
      </c>
      <c r="AD98" s="417">
        <v>46080</v>
      </c>
      <c r="AE98" s="417">
        <v>46080</v>
      </c>
      <c r="AF98" s="417">
        <v>46080</v>
      </c>
      <c r="AG98" s="417">
        <v>46080</v>
      </c>
      <c r="AH98" s="417">
        <v>46080</v>
      </c>
      <c r="AI98" s="417">
        <v>46080</v>
      </c>
      <c r="AJ98" s="417">
        <v>46080</v>
      </c>
      <c r="AK98" s="417">
        <v>46080</v>
      </c>
      <c r="AL98" s="417">
        <v>46080</v>
      </c>
      <c r="AM98" s="418">
        <v>46080</v>
      </c>
      <c r="AO98" s="17"/>
      <c r="AP98" s="17"/>
      <c r="AT98" s="48"/>
      <c r="AV98" s="48"/>
    </row>
    <row r="99" spans="1:48" s="3" customFormat="1" ht="12.95">
      <c r="A99" s="419"/>
      <c r="B99" s="419"/>
      <c r="C99" s="419"/>
      <c r="AO99" s="17"/>
      <c r="AP99" s="17"/>
      <c r="AT99" s="48"/>
      <c r="AV99" s="48"/>
    </row>
    <row r="100" spans="1:48" s="3" customFormat="1" ht="12.95">
      <c r="A100" s="5"/>
      <c r="AO100" s="17"/>
      <c r="AP100" s="17"/>
      <c r="AT100" s="48"/>
      <c r="AV100" s="48"/>
    </row>
    <row r="101" spans="1:48" s="3" customFormat="1" ht="12.95">
      <c r="A101" s="5"/>
      <c r="AO101" s="17"/>
      <c r="AP101" s="17"/>
      <c r="AT101" s="48"/>
      <c r="AV101" s="48"/>
    </row>
    <row r="102" spans="1:48" s="3" customFormat="1" ht="12.95">
      <c r="A102" s="5"/>
      <c r="AO102" s="17"/>
      <c r="AP102" s="17"/>
      <c r="AT102" s="48"/>
      <c r="AV102" s="48"/>
    </row>
    <row r="103" spans="1:48" s="3" customFormat="1" ht="12.95">
      <c r="A103" s="5"/>
      <c r="AO103" s="17"/>
      <c r="AP103" s="17"/>
      <c r="AT103" s="48"/>
      <c r="AV103" s="48"/>
    </row>
    <row r="104" spans="1:48" s="3" customFormat="1" ht="12.95">
      <c r="A104" s="5"/>
      <c r="AO104" s="17"/>
      <c r="AP104" s="17"/>
      <c r="AT104" s="48"/>
      <c r="AV104" s="48"/>
    </row>
    <row r="105" spans="1:48" s="3" customFormat="1" ht="12.95">
      <c r="A105" s="5"/>
      <c r="AO105" s="17"/>
      <c r="AP105" s="17"/>
      <c r="AT105" s="48"/>
      <c r="AV105" s="48"/>
    </row>
    <row r="106" spans="1:48" s="3" customFormat="1" ht="12.95">
      <c r="A106" s="5"/>
      <c r="AO106" s="17"/>
      <c r="AP106" s="17"/>
      <c r="AT106" s="48"/>
      <c r="AV106" s="48"/>
    </row>
    <row r="107" spans="1:48" s="3" customFormat="1" ht="12.95">
      <c r="A107" s="5"/>
      <c r="AO107" s="17"/>
      <c r="AP107" s="17"/>
      <c r="AT107" s="48"/>
      <c r="AV107" s="48"/>
    </row>
    <row r="108" spans="1:48" s="3" customFormat="1" ht="12.95">
      <c r="A108" s="5"/>
      <c r="AO108" s="17"/>
      <c r="AP108" s="17"/>
      <c r="AT108" s="48"/>
      <c r="AV108" s="48"/>
    </row>
    <row r="109" spans="1:48" s="3" customFormat="1" ht="12.95">
      <c r="A109" s="5"/>
      <c r="AO109" s="17"/>
      <c r="AP109" s="17"/>
      <c r="AT109" s="48"/>
      <c r="AV109" s="48"/>
    </row>
    <row r="110" spans="1:48" s="3" customFormat="1" ht="12.95">
      <c r="A110" s="5"/>
      <c r="AO110" s="17"/>
      <c r="AP110" s="17"/>
      <c r="AT110" s="48"/>
      <c r="AV110" s="48"/>
    </row>
    <row r="111" spans="1:48" s="3" customFormat="1" ht="12.95">
      <c r="A111" s="5"/>
      <c r="AO111" s="17"/>
      <c r="AP111" s="17"/>
      <c r="AT111" s="48"/>
      <c r="AV111" s="48"/>
    </row>
    <row r="112" spans="1:48" s="3" customFormat="1" ht="12.95">
      <c r="A112" s="5"/>
      <c r="AO112" s="17"/>
      <c r="AP112" s="17"/>
      <c r="AT112" s="48"/>
      <c r="AV112" s="48"/>
    </row>
    <row r="113" spans="1:48" s="3" customFormat="1" ht="12.95">
      <c r="A113" s="5"/>
      <c r="AO113" s="17"/>
      <c r="AP113" s="17"/>
      <c r="AT113" s="48"/>
      <c r="AV113" s="48"/>
    </row>
    <row r="114" spans="1:48" s="3" customFormat="1" ht="12.95">
      <c r="A114" s="5"/>
      <c r="AO114" s="17"/>
      <c r="AP114" s="17"/>
      <c r="AT114" s="48"/>
      <c r="AV114" s="48"/>
    </row>
    <row r="115" spans="1:48" s="3" customFormat="1" ht="12.95">
      <c r="A115" s="5"/>
      <c r="AO115" s="17"/>
      <c r="AP115" s="17"/>
      <c r="AT115" s="48"/>
      <c r="AV115" s="48"/>
    </row>
    <row r="116" spans="1:48" s="3" customFormat="1" ht="12.95">
      <c r="A116" s="5"/>
      <c r="AO116" s="17"/>
      <c r="AP116" s="17"/>
      <c r="AT116" s="48"/>
      <c r="AV116" s="48"/>
    </row>
    <row r="117" spans="1:48" s="3" customFormat="1" ht="12.95">
      <c r="A117" s="5"/>
      <c r="AO117" s="17"/>
      <c r="AP117" s="17"/>
      <c r="AT117" s="48"/>
      <c r="AV117" s="48"/>
    </row>
    <row r="118" spans="1:48" s="3" customFormat="1" ht="12.95">
      <c r="A118" s="5"/>
      <c r="AO118" s="17"/>
      <c r="AP118" s="17"/>
      <c r="AT118" s="48"/>
      <c r="AV118" s="48"/>
    </row>
    <row r="119" spans="1:48" s="3" customFormat="1" ht="12.95">
      <c r="A119" s="5"/>
      <c r="AO119" s="17"/>
      <c r="AP119" s="17"/>
      <c r="AT119" s="48"/>
      <c r="AV119" s="48"/>
    </row>
    <row r="120" spans="1:48" s="3" customFormat="1" ht="12.95">
      <c r="A120" s="5"/>
      <c r="AO120" s="17"/>
      <c r="AP120" s="17"/>
      <c r="AT120" s="48"/>
      <c r="AV120" s="48"/>
    </row>
    <row r="121" spans="1:48" s="3" customFormat="1" ht="12.95">
      <c r="A121" s="5"/>
      <c r="AO121" s="17"/>
      <c r="AP121" s="17"/>
      <c r="AT121" s="48"/>
      <c r="AV121" s="48"/>
    </row>
    <row r="122" spans="1:48" s="3" customFormat="1" ht="12.95">
      <c r="A122" s="5"/>
      <c r="AO122" s="17"/>
      <c r="AP122" s="17"/>
      <c r="AT122" s="48"/>
      <c r="AV122" s="48"/>
    </row>
    <row r="123" spans="1:48" s="3" customFormat="1" ht="12.95">
      <c r="A123" s="5"/>
      <c r="AO123" s="17"/>
      <c r="AP123" s="17"/>
      <c r="AT123" s="48"/>
      <c r="AV123" s="48"/>
    </row>
    <row r="124" spans="1:48" s="3" customFormat="1" ht="12.95">
      <c r="A124" s="5"/>
      <c r="AO124" s="17"/>
      <c r="AP124" s="17"/>
      <c r="AT124" s="48"/>
      <c r="AV124" s="48"/>
    </row>
    <row r="125" spans="1:48" s="3" customFormat="1" ht="12.95">
      <c r="A125" s="5"/>
      <c r="AO125" s="17"/>
      <c r="AP125" s="17"/>
      <c r="AT125" s="48"/>
      <c r="AV125" s="48"/>
    </row>
    <row r="126" spans="1:48" s="3" customFormat="1" ht="12.95">
      <c r="A126" s="5"/>
      <c r="AO126" s="17"/>
      <c r="AP126" s="17"/>
      <c r="AT126" s="48"/>
      <c r="AV126" s="48"/>
    </row>
    <row r="127" spans="1:48" s="3" customFormat="1" ht="12.95">
      <c r="A127" s="5"/>
      <c r="AO127" s="17"/>
      <c r="AP127" s="17"/>
      <c r="AT127" s="48"/>
      <c r="AV127" s="48"/>
    </row>
    <row r="128" spans="1:48" s="3" customFormat="1" ht="12.95">
      <c r="A128" s="5"/>
      <c r="AO128" s="17"/>
      <c r="AP128" s="17"/>
      <c r="AT128" s="48"/>
      <c r="AV128" s="48"/>
    </row>
    <row r="129" spans="1:48" s="3" customFormat="1" ht="12.95">
      <c r="A129" s="5"/>
      <c r="AO129" s="17"/>
      <c r="AP129" s="17"/>
      <c r="AT129" s="48"/>
      <c r="AV129" s="48"/>
    </row>
    <row r="130" spans="1:48" s="3" customFormat="1" ht="12.95">
      <c r="A130" s="5"/>
      <c r="AO130" s="17"/>
      <c r="AP130" s="17"/>
      <c r="AT130" s="48"/>
      <c r="AV130" s="48"/>
    </row>
    <row r="131" spans="1:48" s="3" customFormat="1" ht="12.95">
      <c r="A131" s="5"/>
      <c r="AO131" s="17"/>
      <c r="AP131" s="17"/>
      <c r="AT131" s="48"/>
      <c r="AV131" s="48"/>
    </row>
    <row r="132" spans="1:48" s="3" customFormat="1" ht="12.95">
      <c r="A132" s="5"/>
      <c r="AO132" s="17"/>
      <c r="AP132" s="17"/>
      <c r="AT132" s="48"/>
      <c r="AV132" s="48"/>
    </row>
    <row r="133" spans="1:48" s="3" customFormat="1" ht="12.95">
      <c r="A133" s="5"/>
      <c r="AO133" s="17"/>
      <c r="AP133" s="17"/>
      <c r="AT133" s="48"/>
      <c r="AV133" s="48"/>
    </row>
    <row r="134" spans="1:48" s="3" customFormat="1" ht="12.95">
      <c r="A134" s="5"/>
      <c r="AO134" s="17"/>
      <c r="AP134" s="17"/>
      <c r="AT134" s="48"/>
      <c r="AV134" s="48"/>
    </row>
    <row r="135" spans="1:48" s="3" customFormat="1" ht="12.95">
      <c r="A135" s="5"/>
      <c r="AO135" s="17"/>
      <c r="AP135" s="17"/>
      <c r="AT135" s="48"/>
      <c r="AV135" s="48"/>
    </row>
    <row r="136" spans="1:48" s="3" customFormat="1" ht="12.95">
      <c r="A136" s="5"/>
      <c r="AO136" s="17"/>
      <c r="AP136" s="17"/>
      <c r="AT136" s="48"/>
      <c r="AV136" s="48"/>
    </row>
    <row r="137" spans="1:48" s="3" customFormat="1" ht="12.95">
      <c r="A137" s="5"/>
      <c r="AO137" s="17"/>
      <c r="AP137" s="17"/>
      <c r="AT137" s="48"/>
      <c r="AV137" s="48"/>
    </row>
    <row r="138" spans="1:48" s="3" customFormat="1" ht="12.95">
      <c r="A138" s="5"/>
      <c r="AO138" s="17"/>
      <c r="AP138" s="17"/>
      <c r="AT138" s="48"/>
      <c r="AV138" s="48"/>
    </row>
    <row r="139" spans="1:48" s="3" customFormat="1" ht="12.95">
      <c r="A139" s="5"/>
      <c r="AO139" s="17"/>
      <c r="AP139" s="17"/>
      <c r="AT139" s="48"/>
      <c r="AV139" s="48"/>
    </row>
    <row r="140" spans="1:48" s="3" customFormat="1" ht="12.95">
      <c r="A140" s="5"/>
      <c r="AO140" s="17"/>
      <c r="AP140" s="17"/>
      <c r="AT140" s="48"/>
      <c r="AV140" s="48"/>
    </row>
    <row r="141" spans="1:48" s="3" customFormat="1" ht="12.95">
      <c r="A141" s="5"/>
      <c r="AO141" s="17"/>
      <c r="AP141" s="17"/>
      <c r="AT141" s="48"/>
      <c r="AV141" s="48"/>
    </row>
    <row r="142" spans="1:48" s="3" customFormat="1" ht="12.95">
      <c r="A142" s="5"/>
      <c r="AO142" s="17"/>
      <c r="AP142" s="17"/>
      <c r="AT142" s="48"/>
      <c r="AV142" s="48"/>
    </row>
    <row r="143" spans="1:48" s="3" customFormat="1" ht="12.95">
      <c r="A143" s="5"/>
      <c r="AO143" s="17"/>
      <c r="AP143" s="17"/>
      <c r="AT143" s="48"/>
      <c r="AV143" s="48"/>
    </row>
    <row r="144" spans="1:48" s="3" customFormat="1" ht="12.95">
      <c r="A144" s="5"/>
      <c r="AO144" s="17"/>
      <c r="AP144" s="17"/>
      <c r="AT144" s="48"/>
      <c r="AV144" s="48"/>
    </row>
    <row r="145" spans="1:48" s="3" customFormat="1" ht="12.95">
      <c r="A145" s="5"/>
      <c r="AO145" s="17"/>
      <c r="AP145" s="17"/>
      <c r="AT145" s="48"/>
      <c r="AV145" s="48"/>
    </row>
    <row r="146" spans="1:48" s="3" customFormat="1" ht="12.95">
      <c r="A146" s="5"/>
      <c r="AO146" s="17"/>
      <c r="AP146" s="17"/>
      <c r="AT146" s="48"/>
      <c r="AV146" s="48"/>
    </row>
    <row r="147" spans="1:48" s="3" customFormat="1" ht="12.95">
      <c r="A147" s="5"/>
      <c r="AO147" s="17"/>
      <c r="AP147" s="17"/>
      <c r="AT147" s="48"/>
      <c r="AV147" s="48"/>
    </row>
    <row r="148" spans="1:48" s="3" customFormat="1" ht="12.95">
      <c r="A148" s="5"/>
      <c r="AO148" s="17"/>
      <c r="AP148" s="17"/>
      <c r="AT148" s="48"/>
      <c r="AV148" s="48"/>
    </row>
    <row r="149" spans="1:48" s="3" customFormat="1" ht="12.95">
      <c r="A149" s="5"/>
      <c r="AO149" s="17"/>
      <c r="AP149" s="17"/>
      <c r="AT149" s="48"/>
      <c r="AV149" s="48"/>
    </row>
    <row r="150" spans="1:48" s="3" customFormat="1" ht="12.95">
      <c r="A150" s="5"/>
      <c r="AO150" s="17"/>
      <c r="AP150" s="17"/>
      <c r="AT150" s="48"/>
      <c r="AV150" s="48"/>
    </row>
    <row r="151" spans="1:48" s="3" customFormat="1" ht="12.95">
      <c r="A151" s="5"/>
      <c r="AO151" s="17"/>
      <c r="AP151" s="17"/>
      <c r="AT151" s="48"/>
      <c r="AV151" s="48"/>
    </row>
    <row r="152" spans="1:48" s="3" customFormat="1" ht="12.95">
      <c r="A152" s="5"/>
      <c r="AO152" s="17"/>
      <c r="AP152" s="17"/>
      <c r="AT152" s="48"/>
      <c r="AV152" s="48"/>
    </row>
    <row r="153" spans="1:48" s="3" customFormat="1" ht="12.95">
      <c r="A153" s="5"/>
      <c r="AO153" s="17"/>
      <c r="AP153" s="17"/>
      <c r="AT153" s="48"/>
      <c r="AV153" s="48"/>
    </row>
    <row r="154" spans="1:48" s="3" customFormat="1" ht="12.95">
      <c r="A154" s="5"/>
      <c r="AO154" s="17"/>
      <c r="AP154" s="17"/>
      <c r="AT154" s="48"/>
      <c r="AV154" s="48"/>
    </row>
    <row r="155" spans="1:48" s="3" customFormat="1" ht="12.95">
      <c r="A155" s="5"/>
      <c r="AO155" s="17"/>
      <c r="AP155" s="17"/>
      <c r="AT155" s="48"/>
      <c r="AV155" s="48"/>
    </row>
    <row r="156" spans="1:48" s="3" customFormat="1" ht="12.95">
      <c r="A156" s="5"/>
      <c r="AO156" s="17"/>
      <c r="AP156" s="17"/>
      <c r="AT156" s="48"/>
      <c r="AV156" s="48"/>
    </row>
    <row r="157" spans="1:48" s="3" customFormat="1" ht="12.95">
      <c r="A157" s="5"/>
      <c r="AO157" s="17"/>
      <c r="AP157" s="17"/>
      <c r="AT157" s="48"/>
      <c r="AV157" s="48"/>
    </row>
    <row r="158" spans="1:48" s="3" customFormat="1" ht="12.95">
      <c r="A158" s="5"/>
      <c r="AO158" s="17"/>
      <c r="AP158" s="17"/>
      <c r="AT158" s="48"/>
      <c r="AV158" s="48"/>
    </row>
    <row r="159" spans="1:48" s="3" customFormat="1" ht="12.95">
      <c r="A159" s="5"/>
      <c r="AO159" s="17"/>
      <c r="AP159" s="17"/>
      <c r="AT159" s="48"/>
      <c r="AV159" s="48"/>
    </row>
    <row r="160" spans="1:48" s="3" customFormat="1" ht="12.95">
      <c r="A160" s="5"/>
      <c r="AO160" s="17"/>
      <c r="AP160" s="17"/>
      <c r="AT160" s="48"/>
      <c r="AV160" s="48"/>
    </row>
    <row r="161" spans="1:48" s="3" customFormat="1" ht="12.95">
      <c r="A161" s="5"/>
      <c r="AO161" s="17"/>
      <c r="AP161" s="17"/>
      <c r="AT161" s="48"/>
      <c r="AV161" s="48"/>
    </row>
    <row r="162" spans="1:48" s="3" customFormat="1" ht="12.95">
      <c r="A162" s="5"/>
      <c r="AO162" s="17"/>
      <c r="AP162" s="17"/>
      <c r="AT162" s="48"/>
      <c r="AV162" s="48"/>
    </row>
    <row r="163" spans="1:48" s="3" customFormat="1" ht="12.95">
      <c r="A163" s="5"/>
      <c r="AO163" s="17"/>
      <c r="AP163" s="17"/>
      <c r="AT163" s="48"/>
      <c r="AV163" s="48"/>
    </row>
    <row r="164" spans="1:48" s="3" customFormat="1" ht="12.95">
      <c r="A164" s="5"/>
      <c r="AO164" s="17"/>
      <c r="AP164" s="17"/>
      <c r="AT164" s="48"/>
      <c r="AV164" s="48"/>
    </row>
    <row r="165" spans="1:48" ht="12.95">
      <c r="A165" s="5"/>
    </row>
    <row r="166" spans="1:48" ht="12.95">
      <c r="A166" s="5"/>
    </row>
    <row r="167" spans="1:48" ht="12.95">
      <c r="A167" s="5"/>
    </row>
    <row r="168" spans="1:48" ht="12.95">
      <c r="A168" s="5"/>
    </row>
    <row r="169" spans="1:48" ht="12.95">
      <c r="A169" s="5"/>
    </row>
  </sheetData>
  <sheetProtection insertRows="0" insertHyperlinks="0" autoFilter="0"/>
  <protectedRanges>
    <protectedRange algorithmName="SHA-512" hashValue="7FJpRjMClRRlEDaRiv2I45XnJ5nVe6Y81mjOK27+pd76r1+ad5pIvVkVn8vpLooPef4Z+bpcH2bfqg0F/3hsww==" saltValue="Lq5joJryvX0cvidipyTKig==" spinCount="100000" sqref="AI15:AI16" name="Total ore_2_1_1"/>
  </protectedRanges>
  <mergeCells count="112">
    <mergeCell ref="B86:C86"/>
    <mergeCell ref="D86:AJ86"/>
    <mergeCell ref="A97:C97"/>
    <mergeCell ref="D97:AM97"/>
    <mergeCell ref="A98:C98"/>
    <mergeCell ref="D98:AM98"/>
    <mergeCell ref="A99:C99"/>
    <mergeCell ref="A94:C94"/>
    <mergeCell ref="D94:AM94"/>
    <mergeCell ref="A95:C95"/>
    <mergeCell ref="D95:AM95"/>
    <mergeCell ref="A96:C96"/>
    <mergeCell ref="D96:AM96"/>
    <mergeCell ref="A89:AK89"/>
    <mergeCell ref="A90:AM91"/>
    <mergeCell ref="A92:C92"/>
    <mergeCell ref="D92:AM92"/>
    <mergeCell ref="A93:C93"/>
    <mergeCell ref="D93:AM93"/>
    <mergeCell ref="B88:C88"/>
    <mergeCell ref="D88:AJ88"/>
    <mergeCell ref="B87:C87"/>
    <mergeCell ref="D87:AJ87"/>
    <mergeCell ref="B83:C83"/>
    <mergeCell ref="D83:AJ83"/>
    <mergeCell ref="B84:C84"/>
    <mergeCell ref="D84:AJ84"/>
    <mergeCell ref="B85:C85"/>
    <mergeCell ref="D85:AJ85"/>
    <mergeCell ref="B79:C79"/>
    <mergeCell ref="D79:AJ79"/>
    <mergeCell ref="B80:C80"/>
    <mergeCell ref="D80:AJ80"/>
    <mergeCell ref="B81:C81"/>
    <mergeCell ref="D81:AJ81"/>
    <mergeCell ref="B82:C82"/>
    <mergeCell ref="D82:AJ82"/>
    <mergeCell ref="B76:C76"/>
    <mergeCell ref="D76:AJ76"/>
    <mergeCell ref="B77:C77"/>
    <mergeCell ref="D77:AJ77"/>
    <mergeCell ref="B78:C78"/>
    <mergeCell ref="D78:AJ78"/>
    <mergeCell ref="B73:C73"/>
    <mergeCell ref="D73:AJ73"/>
    <mergeCell ref="B74:C74"/>
    <mergeCell ref="D74:AJ74"/>
    <mergeCell ref="B75:C75"/>
    <mergeCell ref="D75:AJ75"/>
    <mergeCell ref="B70:C70"/>
    <mergeCell ref="D70:AJ70"/>
    <mergeCell ref="B71:C71"/>
    <mergeCell ref="D71:AJ71"/>
    <mergeCell ref="B72:C72"/>
    <mergeCell ref="D72:AJ72"/>
    <mergeCell ref="B66:C66"/>
    <mergeCell ref="D66:AJ66"/>
    <mergeCell ref="B67:C67"/>
    <mergeCell ref="D67:AJ67"/>
    <mergeCell ref="B69:C69"/>
    <mergeCell ref="D69:AJ69"/>
    <mergeCell ref="B68:C68"/>
    <mergeCell ref="D68:AJ68"/>
    <mergeCell ref="B63:C63"/>
    <mergeCell ref="D63:AJ63"/>
    <mergeCell ref="B64:C64"/>
    <mergeCell ref="D64:AJ64"/>
    <mergeCell ref="B65:C65"/>
    <mergeCell ref="D65:AJ65"/>
    <mergeCell ref="B60:C60"/>
    <mergeCell ref="D60:AJ60"/>
    <mergeCell ref="B61:C61"/>
    <mergeCell ref="D61:AJ61"/>
    <mergeCell ref="B62:C62"/>
    <mergeCell ref="D62:AJ62"/>
    <mergeCell ref="B57:C57"/>
    <mergeCell ref="D57:AJ57"/>
    <mergeCell ref="B58:C58"/>
    <mergeCell ref="D58:AJ58"/>
    <mergeCell ref="B59:C59"/>
    <mergeCell ref="D59:AJ59"/>
    <mergeCell ref="A54:F54"/>
    <mergeCell ref="G54:AM54"/>
    <mergeCell ref="A55:F55"/>
    <mergeCell ref="G55:AM55"/>
    <mergeCell ref="A56:F56"/>
    <mergeCell ref="G56:AM56"/>
    <mergeCell ref="I27:O27"/>
    <mergeCell ref="P27:V27"/>
    <mergeCell ref="A52:F52"/>
    <mergeCell ref="G52:AM52"/>
    <mergeCell ref="A53:F53"/>
    <mergeCell ref="G53:AM53"/>
    <mergeCell ref="I24:O24"/>
    <mergeCell ref="P24:V24"/>
    <mergeCell ref="I25:O25"/>
    <mergeCell ref="P25:V25"/>
    <mergeCell ref="I26:O26"/>
    <mergeCell ref="P26:V26"/>
    <mergeCell ref="AJ12:AJ14"/>
    <mergeCell ref="AK12:AK14"/>
    <mergeCell ref="AL12:AL14"/>
    <mergeCell ref="I19:O19"/>
    <mergeCell ref="P19:V19"/>
    <mergeCell ref="I21:O21"/>
    <mergeCell ref="P21:V21"/>
    <mergeCell ref="B8:AF10"/>
    <mergeCell ref="B11:AF11"/>
    <mergeCell ref="A12:AF12"/>
    <mergeCell ref="AG12:AG14"/>
    <mergeCell ref="AH12:AH14"/>
    <mergeCell ref="AI12:AI14"/>
  </mergeCells>
  <phoneticPr fontId="11" type="noConversion"/>
  <dataValidations count="8">
    <dataValidation type="custom" errorStyle="warning" showInputMessage="1" showErrorMessage="1" errorTitle="Eroare Validare RP" error="- Dacă AQ este „Da”, trebuie să completezi AR cu experții._x000a_- Stadiul livrabilului (AS) este obligatoriu._x000a_" promptTitle="Validare RP" prompt="Selectează „Da” sau „Nu” pentru Livrabil Comun._x000a_- AR: Completează experții dacă AQ este „Da”._x000a_- AS: Completează stadiul livrabilului (obligatoriu)." sqref="AT58 AT64 AT88" xr:uid="{84E0B23A-3B94-464F-BB26-B7036907F5D3}">
      <formula1>AND(AQ60="Nu", OR(AQ60="Da", AND(AQ60="Da", AR60&lt;&gt;"")), AS60&lt;&gt;"")</formula1>
    </dataValidation>
    <dataValidation type="custom" allowBlank="1" showInputMessage="1" showErrorMessage="1" errorTitle="Eroare Validare Livrabil" error="Categoria livrabilului (AU) este obligatoriu." sqref="AV58:AV59 AV61 AV75 AV64 AV77:AV83 AV85:AV87" xr:uid="{FB0DF492-8F4B-4D49-A774-8A6408070417}">
      <formula1>AU60&lt;&gt;""</formula1>
    </dataValidation>
    <dataValidation type="custom" allowBlank="1" showInputMessage="1" showErrorMessage="1" errorTitle="Eroare Validare Livrabil" error="Categoria livrabilului (AU) este obligatoriu." sqref="AV73 AV68:AV71" xr:uid="{ECDA80D0-AE10-457C-9A69-6DC0FBDF0B3A}">
      <formula1>AU71&lt;&gt;""</formula1>
    </dataValidation>
    <dataValidation type="custom" errorStyle="warning" showInputMessage="1" showErrorMessage="1" errorTitle="Eroare Validare RP" error="- Dacă AQ este „Da”, trebuie să completezi AR cu experții._x000a_- Stadiul livrabilului (AS) este obligatoriu._x000a_" promptTitle="Validare RP" prompt="Selectează „Da” sau „Nu” pentru Livrabil Comun._x000a_- AR: Completează experții dacă AQ este „Da”._x000a_- AS: Completează stadiul livrabilului (obligatoriu)." sqref="AT87" xr:uid="{B1A15EAB-097C-48C6-830E-F38AF4C79A8B}">
      <formula1>AND(#REF!="Nu", OR(#REF!="Da", AND(#REF!="Da", #REF!&lt;&gt;"")), #REF!&lt;&gt;"")</formula1>
    </dataValidation>
    <dataValidation type="custom" allowBlank="1" showInputMessage="1" showErrorMessage="1" errorTitle="Eroare Validare Livrabil" error="Categoria livrabilului (AU) este obligatoriu." sqref="AV88" xr:uid="{FF8F98BC-E78D-4147-9C42-1D7535C28DDC}">
      <formula1>#REF!&lt;&gt;""</formula1>
    </dataValidation>
    <dataValidation type="custom" errorStyle="warning" showInputMessage="1" showErrorMessage="1" errorTitle="Eroare Validare RP" error="- Dacă AQ este „Da”, trebuie să completezi AR cu experții._x000a_- Stadiul livrabilului (AS) este obligatoriu._x000a_" promptTitle="Validare RP" prompt="Selectează „Da” sau „Nu” pentru Livrabil Comun._x000a_- AR: Completează experții dacă AQ este „Da”._x000a_- AS: Completează stadiul livrabilului (obligatoriu)." sqref="AT80" xr:uid="{5F623954-F70E-40D5-8E63-CAEA2AF58656}">
      <formula1>AND(AQ84="Nu", OR(AQ84="Da", AND(AQ84="Da", AR84&lt;&gt;"")), AS84&lt;&gt;"")</formula1>
    </dataValidation>
    <dataValidation type="custom" allowBlank="1" showInputMessage="1" showErrorMessage="1" errorTitle="Eroare Validare Livrabil" promptTitle="Validare livrabil" prompt="Asigură-te că celula ”Categorie livrabil 2” este completată înainte de a introduce date în Livrabil 2" sqref="AX58:AX88" xr:uid="{F1EC660D-B85B-4C6A-880B-2D92D0F7B951}">
      <formula1>AW60&lt;&gt;""</formula1>
    </dataValidation>
    <dataValidation type="custom" errorStyle="warning" showInputMessage="1" showErrorMessage="1" errorTitle="Eroare Validare RP" error="- Dacă AQ este „Da”, trebuie să completezi AR cu experții._x000a_- Stadiul livrabilului (AS) este obligatoriu._x000a_" promptTitle="Validare RP" prompt="Selectează „Da” sau „Nu” pentru Livrabil Comun._x000a_- AR: Completează experții dacă AQ este „Da”._x000a_- AS: Completează stadiul livrabilului (obligatoriu)." sqref="AV60" xr:uid="{152ADF06-355F-4417-AE50-8BF972388D8E}">
      <formula1>AND(AS82="Nu", OR(AS82="Da", AND(AS82="Da", AT82&lt;&gt;"")), AU82&lt;&gt;"")</formula1>
    </dataValidation>
  </dataValidations>
  <hyperlinks>
    <hyperlink ref="AT59" r:id="rId1" display="20260202_RP_GDPR_ CIM_Responsabil Centrul Regional 1_DZ.docx" xr:uid="{286CFA0A-C937-4CC2-A217-934CB8479DFC}"/>
    <hyperlink ref="AT61" r:id="rId2" display="20260204_Nota informativa_ GDPR_ev 30.01.docx" xr:uid="{4FA83EE5-F760-4745-9333-FEBAF819198F}"/>
    <hyperlink ref="AT62" r:id="rId3" display="20260205_RP_ GDPR_Comunicate_Ian 2026_I.docx" xr:uid="{12C627AE-0743-4940-92D5-A468705557EC}"/>
    <hyperlink ref="AT66" r:id="rId4" display="20260209_RP_ Intalniri online -ian 2026.docx" xr:uid="{8E9BE1D0-4771-4B80-A831-E6E0A4116695}"/>
    <hyperlink ref="AT69" r:id="rId5" display="20260211_MOM_Daniel Zaharia_instructaj GDPR.docx" xr:uid="{01829DA2-40D9-4EA0-914C-33F7167292F0}"/>
    <hyperlink ref="AT74" r:id="rId6" display="20260216_RP EVENIMENTE BH_GDPR_ian 2026.docx" xr:uid="{83764FD4-ED10-4EC2-B685-5CCF4E721603}"/>
    <hyperlink ref="AT60" r:id="rId7" display="20260203_RP_Ev CESE.docx" xr:uid="{DFB1B3D2-BBF3-4B91-B9AE-7A7208632050}"/>
    <hyperlink ref="AT75" r:id="rId8" display="20260217_GT-Monitorizare GDPR pe perioada 01.01.2026-31.01.2026.docx" xr:uid="{0E6FD0D3-4280-4AB5-B038-26E958E1EE8D}"/>
    <hyperlink ref="AT83" r:id="rId9" display="20260220_Analiza GDPR_Interviuri online_Asistent Manager.docx" xr:uid="{B7FD22E1-DAA7-4880-9235-60FB219AAE6D}"/>
    <hyperlink ref="AT77" r:id="rId10" display="20260219_Etapa I_EvaluareGDPR_AJ_Tr Arges_Prahova_Ilfov.docx" xr:uid="{9FF6C0D4-988D-4B88-B0A1-B0EC45238184}"/>
    <hyperlink ref="AT81" r:id="rId11" display="20260223_RP_AJ_ Etapa II.docx" xr:uid="{113052A6-19DE-4E3E-A261-548F75319415}"/>
    <hyperlink ref="AT82" r:id="rId12" display="20260223_Raport de monitorizare GDPR eveniment GT_EPG.docx" xr:uid="{0E4CBF77-C340-4369-ACD3-EFAAD14155E8}"/>
    <hyperlink ref="AT85" r:id="rId13" display="20260226_ET III_ RP - AJ.docx" xr:uid="{5D12457F-D94E-4A00-94E0-8B0E2B57601E}"/>
    <hyperlink ref="AT86" r:id="rId14" display="20260227_RP_GDPR_Licitatie.docx" xr:uid="{C1140526-7385-40B6-ACA3-9B5CE522FDFA}"/>
    <hyperlink ref="AT84" r:id="rId15" display="20260225_RP_GDPR_Actualizare politica confidentialitate CPC.docx" xr:uid="{515DDB23-5C61-49F4-AC8E-A97FE098271E}"/>
    <hyperlink ref="AV84" r:id="rId16" xr:uid="{8BF02552-4DC5-4770-BAF0-A6008C4253A3}"/>
    <hyperlink ref="AT76" r:id="rId17" display="https://confederatiaconcordia.sharepoint.com/:w:/s/PEO2024-2028/IQBM_LWfYCypQ7baYTY4ztGQAaMBWDoMr7kz4CK_Ha8lVlk?e=nYW6fN" xr:uid="{ED06E918-A573-494A-AF81-9E74CEBF08E3}"/>
    <hyperlink ref="AT68" r:id="rId18" display="20260211_MOM_Daniel Zaharia_instructaj GDPR.docx" xr:uid="{07772E26-A4EC-4783-9C5C-4B450CE404D8}"/>
  </hyperlinks>
  <pageMargins left="0.25" right="0.25" top="0.75" bottom="0.75" header="0.3" footer="0.3"/>
  <pageSetup paperSize="9" scale="31" fitToWidth="0" orientation="portrait" r:id="rId19"/>
  <drawing r:id="rId20"/>
  <extLst>
    <ext xmlns:x14="http://schemas.microsoft.com/office/spreadsheetml/2009/9/main" uri="{CCE6A557-97BC-4b89-ADB6-D9C93CAAB3DF}">
      <x14:dataValidations xmlns:xm="http://schemas.microsoft.com/office/excel/2006/main" count="5">
        <x14:dataValidation type="list" allowBlank="1" showInputMessage="1" showErrorMessage="1" xr:uid="{91B2F1FA-6CFD-426D-80A4-BEE69A749FE9}">
          <x14:formula1>
            <xm:f>Activitati!$D$2:$D$11</xm:f>
          </x14:formula1>
          <xm:sqref>AV76 AZ58:AZ88 AW58:AW88 AU58:AU88</xm:sqref>
        </x14:dataValidation>
        <x14:dataValidation type="list" allowBlank="1" showInputMessage="1" showErrorMessage="1" xr:uid="{FA8AFF55-0C77-4E6F-B76E-0B0389C1DFF5}">
          <x14:formula1>
            <xm:f>Activitati!$A$1</xm:f>
          </x14:formula1>
          <xm:sqref>B60:C64 B78:C84 B67:C75</xm:sqref>
        </x14:dataValidation>
        <x14:dataValidation type="list" allowBlank="1" showInputMessage="1" showErrorMessage="1" xr:uid="{06861039-BA63-4308-9539-5934724955BB}">
          <x14:formula1>
            <xm:f>Activitati!$A$2</xm:f>
          </x14:formula1>
          <xm:sqref>D58:AJ88</xm:sqref>
        </x14:dataValidation>
        <x14:dataValidation type="list" allowBlank="1" showInputMessage="1" showErrorMessage="1" xr:uid="{1731F4B5-4EE5-47EC-A26A-BF6EB88718F7}">
          <x14:formula1>
            <xm:f>Activitati!$C$2:$C$3</xm:f>
          </x14:formula1>
          <xm:sqref>AS58:AS88</xm:sqref>
        </x14:dataValidation>
        <x14:dataValidation type="list" allowBlank="1" showInputMessage="1" showErrorMessage="1" xr:uid="{3D1B7F50-5B4A-42DC-AEA9-A0FFE451DC22}">
          <x14:formula1>
            <xm:f>Activitati!$B$2:$B$3</xm:f>
          </x14:formula1>
          <xm:sqref>AQ58:AQ88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375F4-0B76-4D17-8998-B9C2528851FE}">
  <sheetPr>
    <pageSetUpPr fitToPage="1"/>
  </sheetPr>
  <dimension ref="A1:BB169"/>
  <sheetViews>
    <sheetView showGridLines="0" topLeftCell="AK57" zoomScale="70" zoomScaleNormal="70" workbookViewId="0">
      <selection activeCell="AN61" sqref="AN61"/>
    </sheetView>
  </sheetViews>
  <sheetFormatPr defaultColWidth="8.5703125" defaultRowHeight="12.75" customHeight="1"/>
  <cols>
    <col min="1" max="1" width="30.42578125" style="1" customWidth="1"/>
    <col min="2" max="32" width="3.5703125" style="1" customWidth="1"/>
    <col min="33" max="34" width="7.42578125" style="1" customWidth="1"/>
    <col min="35" max="35" width="6.5703125" style="1" customWidth="1"/>
    <col min="36" max="36" width="6.42578125" style="1" customWidth="1"/>
    <col min="37" max="37" width="7.5703125" style="1" customWidth="1"/>
    <col min="38" max="38" width="8.42578125" style="1" customWidth="1"/>
    <col min="39" max="39" width="9.5703125" style="1" customWidth="1"/>
    <col min="40" max="40" width="77.42578125" style="1" customWidth="1"/>
    <col min="41" max="41" width="17.5703125" style="2" customWidth="1"/>
    <col min="42" max="42" width="14.5703125" style="2" customWidth="1"/>
    <col min="43" max="43" width="22.85546875" style="1" customWidth="1"/>
    <col min="44" max="44" width="28.42578125" style="1" customWidth="1"/>
    <col min="45" max="45" width="32.140625" style="1" customWidth="1"/>
    <col min="46" max="46" width="37.42578125" style="18" customWidth="1"/>
    <col min="47" max="47" width="32.5703125" style="1" customWidth="1"/>
    <col min="48" max="48" width="30.42578125" style="18" customWidth="1"/>
    <col min="49" max="52" width="30.42578125" style="1" customWidth="1"/>
    <col min="53" max="53" width="20.5703125" style="1" customWidth="1"/>
    <col min="54" max="54" width="31" style="1" customWidth="1"/>
    <col min="55" max="16384" width="8.5703125" style="1"/>
  </cols>
  <sheetData>
    <row r="1" spans="1:39" ht="13.5" thickBot="1">
      <c r="A1" s="19" t="s">
        <v>0</v>
      </c>
      <c r="B1" s="20"/>
    </row>
    <row r="2" spans="1:39" ht="13.5" thickBot="1">
      <c r="A2" s="21" t="s">
        <v>1</v>
      </c>
      <c r="B2" s="22"/>
    </row>
    <row r="3" spans="1:39" ht="13.5" thickBot="1">
      <c r="A3" s="21" t="s">
        <v>2</v>
      </c>
      <c r="B3" s="23" t="s">
        <v>3</v>
      </c>
    </row>
    <row r="4" spans="1:39" ht="13.5" thickBot="1">
      <c r="A4" s="21" t="s">
        <v>4</v>
      </c>
      <c r="B4" s="23" t="s">
        <v>5</v>
      </c>
    </row>
    <row r="5" spans="1:39" ht="13.5" thickBot="1">
      <c r="A5" s="24" t="s">
        <v>6</v>
      </c>
      <c r="B5" s="23" t="s">
        <v>7</v>
      </c>
    </row>
    <row r="6" spans="1:39" ht="13.5" thickBot="1">
      <c r="A6" s="24" t="s">
        <v>8</v>
      </c>
      <c r="B6" s="25">
        <v>8</v>
      </c>
    </row>
    <row r="7" spans="1:39" ht="13.5" thickBot="1">
      <c r="A7" s="26"/>
      <c r="B7" s="27"/>
    </row>
    <row r="8" spans="1:39" ht="14.85" customHeight="1">
      <c r="B8" s="493" t="s">
        <v>9</v>
      </c>
      <c r="C8" s="494"/>
      <c r="D8" s="494"/>
      <c r="E8" s="494"/>
      <c r="F8" s="494"/>
      <c r="G8" s="494"/>
      <c r="H8" s="494"/>
      <c r="I8" s="494"/>
      <c r="J8" s="494"/>
      <c r="K8" s="494"/>
      <c r="L8" s="494"/>
      <c r="M8" s="494"/>
      <c r="N8" s="494"/>
      <c r="O8" s="494"/>
      <c r="P8" s="494"/>
      <c r="Q8" s="494"/>
      <c r="R8" s="494"/>
      <c r="S8" s="494"/>
      <c r="T8" s="494"/>
      <c r="U8" s="494"/>
      <c r="V8" s="494"/>
      <c r="W8" s="494"/>
      <c r="X8" s="494"/>
      <c r="Y8" s="494"/>
      <c r="Z8" s="494"/>
      <c r="AA8" s="494"/>
      <c r="AB8" s="494"/>
      <c r="AC8" s="494"/>
      <c r="AD8" s="494"/>
      <c r="AE8" s="494"/>
      <c r="AF8" s="495"/>
    </row>
    <row r="9" spans="1:39" ht="14.85" customHeight="1">
      <c r="B9" s="496"/>
      <c r="C9" s="497"/>
      <c r="D9" s="497"/>
      <c r="E9" s="497"/>
      <c r="F9" s="497"/>
      <c r="G9" s="497"/>
      <c r="H9" s="497"/>
      <c r="I9" s="497"/>
      <c r="J9" s="497"/>
      <c r="K9" s="497"/>
      <c r="L9" s="497"/>
      <c r="M9" s="497"/>
      <c r="N9" s="497"/>
      <c r="O9" s="497"/>
      <c r="P9" s="497"/>
      <c r="Q9" s="497"/>
      <c r="R9" s="497"/>
      <c r="S9" s="497"/>
      <c r="T9" s="497"/>
      <c r="U9" s="497"/>
      <c r="V9" s="497"/>
      <c r="W9" s="497"/>
      <c r="X9" s="497"/>
      <c r="Y9" s="497"/>
      <c r="Z9" s="497"/>
      <c r="AA9" s="497"/>
      <c r="AB9" s="497"/>
      <c r="AC9" s="497"/>
      <c r="AD9" s="497"/>
      <c r="AE9" s="497"/>
      <c r="AF9" s="498"/>
    </row>
    <row r="10" spans="1:39" ht="15" customHeight="1" thickBot="1">
      <c r="B10" s="499"/>
      <c r="C10" s="500"/>
      <c r="D10" s="500"/>
      <c r="E10" s="500"/>
      <c r="F10" s="500"/>
      <c r="G10" s="500"/>
      <c r="H10" s="500"/>
      <c r="I10" s="500"/>
      <c r="J10" s="500"/>
      <c r="K10" s="500"/>
      <c r="L10" s="500"/>
      <c r="M10" s="500"/>
      <c r="N10" s="500"/>
      <c r="O10" s="500"/>
      <c r="P10" s="500"/>
      <c r="Q10" s="500"/>
      <c r="R10" s="500"/>
      <c r="S10" s="500"/>
      <c r="T10" s="500"/>
      <c r="U10" s="500"/>
      <c r="V10" s="500"/>
      <c r="W10" s="500"/>
      <c r="X10" s="500"/>
      <c r="Y10" s="500"/>
      <c r="Z10" s="500"/>
      <c r="AA10" s="500"/>
      <c r="AB10" s="500"/>
      <c r="AC10" s="500"/>
      <c r="AD10" s="500"/>
      <c r="AE10" s="500"/>
      <c r="AF10" s="501"/>
    </row>
    <row r="11" spans="1:39" ht="15" thickBot="1">
      <c r="B11" s="502" t="s">
        <v>10</v>
      </c>
      <c r="C11" s="502"/>
      <c r="D11" s="502"/>
      <c r="E11" s="502"/>
      <c r="F11" s="502"/>
      <c r="G11" s="502"/>
      <c r="H11" s="502"/>
      <c r="I11" s="502"/>
      <c r="J11" s="502"/>
      <c r="K11" s="502"/>
      <c r="L11" s="502"/>
      <c r="M11" s="502"/>
      <c r="N11" s="502"/>
      <c r="O11" s="502"/>
      <c r="P11" s="502"/>
      <c r="Q11" s="502"/>
      <c r="R11" s="502"/>
      <c r="S11" s="502"/>
      <c r="T11" s="502"/>
      <c r="U11" s="502"/>
      <c r="V11" s="502"/>
      <c r="W11" s="502"/>
      <c r="X11" s="502"/>
      <c r="Y11" s="502"/>
      <c r="Z11" s="502"/>
      <c r="AA11" s="502"/>
      <c r="AB11" s="502"/>
      <c r="AC11" s="502"/>
      <c r="AD11" s="502"/>
      <c r="AE11" s="502"/>
      <c r="AF11" s="502"/>
      <c r="AG11" s="28"/>
      <c r="AH11" s="29"/>
      <c r="AI11" s="28"/>
      <c r="AJ11" s="29"/>
      <c r="AK11" s="28"/>
      <c r="AL11" s="29"/>
      <c r="AM11" s="28"/>
    </row>
    <row r="12" spans="1:39" ht="17.25" customHeight="1" thickBot="1">
      <c r="A12" s="503" t="s">
        <v>163</v>
      </c>
      <c r="B12" s="504"/>
      <c r="C12" s="504"/>
      <c r="D12" s="504"/>
      <c r="E12" s="504"/>
      <c r="F12" s="504"/>
      <c r="G12" s="504"/>
      <c r="H12" s="504"/>
      <c r="I12" s="504"/>
      <c r="J12" s="504"/>
      <c r="K12" s="504"/>
      <c r="L12" s="504"/>
      <c r="M12" s="504"/>
      <c r="N12" s="504"/>
      <c r="O12" s="504"/>
      <c r="P12" s="504"/>
      <c r="Q12" s="504"/>
      <c r="R12" s="504"/>
      <c r="S12" s="504"/>
      <c r="T12" s="504"/>
      <c r="U12" s="504"/>
      <c r="V12" s="504"/>
      <c r="W12" s="504"/>
      <c r="X12" s="504"/>
      <c r="Y12" s="504"/>
      <c r="Z12" s="504"/>
      <c r="AA12" s="504"/>
      <c r="AB12" s="504"/>
      <c r="AC12" s="504"/>
      <c r="AD12" s="504"/>
      <c r="AE12" s="504"/>
      <c r="AF12" s="504"/>
      <c r="AG12" s="490" t="s">
        <v>12</v>
      </c>
      <c r="AH12" s="490" t="s">
        <v>13</v>
      </c>
      <c r="AI12" s="490" t="s">
        <v>14</v>
      </c>
      <c r="AJ12" s="490" t="s">
        <v>15</v>
      </c>
      <c r="AK12" s="490" t="s">
        <v>16</v>
      </c>
      <c r="AL12" s="490" t="s">
        <v>17</v>
      </c>
      <c r="AM12" s="37"/>
    </row>
    <row r="13" spans="1:39" ht="17.25" customHeight="1" thickBot="1">
      <c r="A13" s="30" t="s">
        <v>18</v>
      </c>
      <c r="B13" s="175">
        <v>1</v>
      </c>
      <c r="C13" s="108">
        <v>2</v>
      </c>
      <c r="D13" s="108">
        <v>3</v>
      </c>
      <c r="E13" s="108">
        <v>4</v>
      </c>
      <c r="F13" s="108">
        <v>5</v>
      </c>
      <c r="G13" s="108">
        <v>6</v>
      </c>
      <c r="H13" s="31">
        <v>7</v>
      </c>
      <c r="I13" s="31">
        <v>8</v>
      </c>
      <c r="J13" s="108">
        <v>9</v>
      </c>
      <c r="K13" s="108">
        <v>10</v>
      </c>
      <c r="L13" s="108">
        <v>11</v>
      </c>
      <c r="M13" s="108">
        <v>12</v>
      </c>
      <c r="N13" s="108">
        <v>13</v>
      </c>
      <c r="O13" s="31">
        <v>14</v>
      </c>
      <c r="P13" s="31">
        <v>15</v>
      </c>
      <c r="Q13" s="108">
        <v>16</v>
      </c>
      <c r="R13" s="108">
        <v>17</v>
      </c>
      <c r="S13" s="108">
        <v>18</v>
      </c>
      <c r="T13" s="108">
        <v>19</v>
      </c>
      <c r="U13" s="108">
        <v>20</v>
      </c>
      <c r="V13" s="31">
        <v>21</v>
      </c>
      <c r="W13" s="31">
        <v>22</v>
      </c>
      <c r="X13" s="108">
        <v>23</v>
      </c>
      <c r="Y13" s="108">
        <v>24</v>
      </c>
      <c r="Z13" s="108">
        <v>25</v>
      </c>
      <c r="AA13" s="108">
        <v>26</v>
      </c>
      <c r="AB13" s="108">
        <v>27</v>
      </c>
      <c r="AC13" s="31">
        <v>28</v>
      </c>
      <c r="AD13" s="31">
        <v>29</v>
      </c>
      <c r="AE13" s="108">
        <v>30</v>
      </c>
      <c r="AF13" s="108">
        <v>31</v>
      </c>
      <c r="AG13" s="491"/>
      <c r="AH13" s="505"/>
      <c r="AI13" s="491"/>
      <c r="AJ13" s="491"/>
      <c r="AK13" s="491"/>
      <c r="AL13" s="491"/>
      <c r="AM13" s="38"/>
    </row>
    <row r="14" spans="1:39" ht="17.25" customHeight="1" thickBot="1">
      <c r="A14" s="32" t="s">
        <v>19</v>
      </c>
      <c r="B14" s="33" t="s">
        <v>23</v>
      </c>
      <c r="C14" s="34" t="s">
        <v>24</v>
      </c>
      <c r="D14" s="34" t="s">
        <v>25</v>
      </c>
      <c r="E14" s="34" t="s">
        <v>26</v>
      </c>
      <c r="F14" s="34" t="s">
        <v>20</v>
      </c>
      <c r="G14" s="34" t="s">
        <v>21</v>
      </c>
      <c r="H14" s="33" t="s">
        <v>22</v>
      </c>
      <c r="I14" s="33" t="s">
        <v>23</v>
      </c>
      <c r="J14" s="34" t="s">
        <v>24</v>
      </c>
      <c r="K14" s="34" t="s">
        <v>25</v>
      </c>
      <c r="L14" s="34" t="s">
        <v>26</v>
      </c>
      <c r="M14" s="34" t="s">
        <v>20</v>
      </c>
      <c r="N14" s="34" t="s">
        <v>21</v>
      </c>
      <c r="O14" s="33" t="s">
        <v>22</v>
      </c>
      <c r="P14" s="33" t="s">
        <v>23</v>
      </c>
      <c r="Q14" s="34" t="s">
        <v>24</v>
      </c>
      <c r="R14" s="34" t="s">
        <v>25</v>
      </c>
      <c r="S14" s="34" t="s">
        <v>26</v>
      </c>
      <c r="T14" s="34" t="s">
        <v>20</v>
      </c>
      <c r="U14" s="34" t="s">
        <v>21</v>
      </c>
      <c r="V14" s="33" t="s">
        <v>22</v>
      </c>
      <c r="W14" s="33" t="s">
        <v>23</v>
      </c>
      <c r="X14" s="34" t="s">
        <v>24</v>
      </c>
      <c r="Y14" s="34" t="s">
        <v>25</v>
      </c>
      <c r="Z14" s="34" t="s">
        <v>26</v>
      </c>
      <c r="AA14" s="34" t="s">
        <v>20</v>
      </c>
      <c r="AB14" s="34" t="s">
        <v>21</v>
      </c>
      <c r="AC14" s="33" t="s">
        <v>22</v>
      </c>
      <c r="AD14" s="33" t="s">
        <v>23</v>
      </c>
      <c r="AE14" s="34" t="s">
        <v>24</v>
      </c>
      <c r="AF14" s="34" t="s">
        <v>25</v>
      </c>
      <c r="AG14" s="491"/>
      <c r="AH14" s="506"/>
      <c r="AI14" s="491"/>
      <c r="AJ14" s="491"/>
      <c r="AK14" s="491"/>
      <c r="AL14" s="491"/>
      <c r="AM14" s="38"/>
    </row>
    <row r="15" spans="1:39" ht="17.25" customHeight="1">
      <c r="A15" s="35" t="s">
        <v>27</v>
      </c>
      <c r="B15" s="176"/>
      <c r="C15" s="109">
        <f t="shared" ref="C15:AB15" si="0">8-SUM(C16:C16)</f>
        <v>8</v>
      </c>
      <c r="D15" s="109">
        <f t="shared" si="0"/>
        <v>4</v>
      </c>
      <c r="E15" s="109">
        <f t="shared" si="0"/>
        <v>5</v>
      </c>
      <c r="F15" s="109">
        <f t="shared" si="0"/>
        <v>4</v>
      </c>
      <c r="G15" s="109">
        <f t="shared" si="0"/>
        <v>3</v>
      </c>
      <c r="H15" s="51"/>
      <c r="I15" s="51"/>
      <c r="J15" s="109" t="s">
        <v>5</v>
      </c>
      <c r="K15" s="109">
        <f t="shared" si="0"/>
        <v>2</v>
      </c>
      <c r="L15" s="109">
        <f t="shared" si="0"/>
        <v>8</v>
      </c>
      <c r="M15" s="109">
        <f t="shared" ref="M15" si="1">8-SUM(M16:M16)</f>
        <v>6</v>
      </c>
      <c r="N15" s="109">
        <f t="shared" si="0"/>
        <v>4</v>
      </c>
      <c r="O15" s="51"/>
      <c r="P15" s="51"/>
      <c r="Q15" s="109">
        <f t="shared" si="0"/>
        <v>5</v>
      </c>
      <c r="R15" s="109">
        <f t="shared" si="0"/>
        <v>6</v>
      </c>
      <c r="S15" s="109" t="s">
        <v>5</v>
      </c>
      <c r="T15" s="109">
        <f t="shared" si="0"/>
        <v>8</v>
      </c>
      <c r="U15" s="109">
        <f t="shared" si="0"/>
        <v>0</v>
      </c>
      <c r="V15" s="51"/>
      <c r="W15" s="51"/>
      <c r="X15" s="109">
        <f t="shared" si="0"/>
        <v>4</v>
      </c>
      <c r="Y15" s="109">
        <f t="shared" si="0"/>
        <v>4</v>
      </c>
      <c r="Z15" s="109">
        <f t="shared" si="0"/>
        <v>8</v>
      </c>
      <c r="AA15" s="109">
        <f t="shared" si="0"/>
        <v>8</v>
      </c>
      <c r="AB15" s="109">
        <f t="shared" si="0"/>
        <v>8</v>
      </c>
      <c r="AC15" s="51"/>
      <c r="AD15" s="51"/>
      <c r="AE15" s="109">
        <f t="shared" ref="AE15:AF15" si="2">8-SUM(AE16:AE16)</f>
        <v>8</v>
      </c>
      <c r="AF15" s="109">
        <f t="shared" si="2"/>
        <v>6</v>
      </c>
      <c r="AG15" s="52">
        <f>SUM(B15:AF15)+COUNTIF(B15:AF15, "DE")*4</f>
        <v>109</v>
      </c>
      <c r="AH15" s="53">
        <f>AG15/8</f>
        <v>13.625</v>
      </c>
      <c r="AI15" s="53">
        <f>COUNTIF(B15:AF15, "CO")*4</f>
        <v>8</v>
      </c>
      <c r="AJ15" s="53">
        <f>AI15/8</f>
        <v>1</v>
      </c>
      <c r="AK15" s="53">
        <f>COUNTIF(B15:AF15, "CM")*8</f>
        <v>0</v>
      </c>
      <c r="AL15" s="54">
        <f>AK15/8</f>
        <v>0</v>
      </c>
      <c r="AM15" s="39"/>
    </row>
    <row r="16" spans="1:39" ht="29.85" customHeight="1" thickBot="1">
      <c r="A16" s="35" t="s">
        <v>28</v>
      </c>
      <c r="B16" s="177"/>
      <c r="C16" s="110">
        <f>SUMIFS($AL$58:$AL$88,$A$58:$A$88,"="&amp;DATE(2026,3,C13))</f>
        <v>0</v>
      </c>
      <c r="D16" s="110">
        <f t="shared" ref="D16:AF16" si="3">SUMIFS($AL$58:$AL$88,$A$58:$A$88,"="&amp;DATE(2026,3,D13))</f>
        <v>4</v>
      </c>
      <c r="E16" s="110">
        <f t="shared" si="3"/>
        <v>3</v>
      </c>
      <c r="F16" s="110">
        <f t="shared" si="3"/>
        <v>4</v>
      </c>
      <c r="G16" s="110">
        <f t="shared" si="3"/>
        <v>5</v>
      </c>
      <c r="H16" s="55"/>
      <c r="I16" s="55"/>
      <c r="J16" s="110" t="s">
        <v>5</v>
      </c>
      <c r="K16" s="110">
        <f t="shared" si="3"/>
        <v>6</v>
      </c>
      <c r="L16" s="110">
        <f t="shared" si="3"/>
        <v>0</v>
      </c>
      <c r="M16" s="110">
        <f t="shared" si="3"/>
        <v>2</v>
      </c>
      <c r="N16" s="110">
        <f t="shared" si="3"/>
        <v>4</v>
      </c>
      <c r="O16" s="55"/>
      <c r="P16" s="55"/>
      <c r="Q16" s="110">
        <f t="shared" si="3"/>
        <v>3</v>
      </c>
      <c r="R16" s="110">
        <f t="shared" si="3"/>
        <v>2</v>
      </c>
      <c r="S16" s="110" t="s">
        <v>5</v>
      </c>
      <c r="T16" s="110">
        <f t="shared" si="3"/>
        <v>0</v>
      </c>
      <c r="U16" s="110">
        <f t="shared" si="3"/>
        <v>8</v>
      </c>
      <c r="V16" s="55"/>
      <c r="W16" s="55"/>
      <c r="X16" s="110">
        <f t="shared" si="3"/>
        <v>4</v>
      </c>
      <c r="Y16" s="110">
        <f t="shared" si="3"/>
        <v>4</v>
      </c>
      <c r="Z16" s="110">
        <f t="shared" si="3"/>
        <v>0</v>
      </c>
      <c r="AA16" s="110">
        <f t="shared" si="3"/>
        <v>0</v>
      </c>
      <c r="AB16" s="110">
        <f t="shared" si="3"/>
        <v>0</v>
      </c>
      <c r="AC16" s="55"/>
      <c r="AD16" s="55"/>
      <c r="AE16" s="110">
        <f t="shared" si="3"/>
        <v>0</v>
      </c>
      <c r="AF16" s="110">
        <f t="shared" si="3"/>
        <v>2</v>
      </c>
      <c r="AG16" s="56">
        <f>SUM(B16:AF16)+COUNTIF(B16:AF16, "DE")*4</f>
        <v>51</v>
      </c>
      <c r="AH16" s="57">
        <f>AG16/8</f>
        <v>6.375</v>
      </c>
      <c r="AI16" s="57">
        <f>COUNTIF(B16:AF16, "CO")*4</f>
        <v>8</v>
      </c>
      <c r="AJ16" s="57">
        <f>AI16/8</f>
        <v>1</v>
      </c>
      <c r="AK16" s="57">
        <f>COUNTIF(B16:AF16, "CM")*8</f>
        <v>0</v>
      </c>
      <c r="AL16" s="58">
        <f>AK16/8</f>
        <v>0</v>
      </c>
      <c r="AM16" s="39"/>
    </row>
    <row r="17" spans="1:39" ht="17.25" customHeight="1" thickBot="1">
      <c r="A17" s="36" t="s">
        <v>29</v>
      </c>
      <c r="B17" s="178"/>
      <c r="C17" s="59">
        <f t="shared" ref="C17:AB17" si="4">SUM(C15:C16)</f>
        <v>8</v>
      </c>
      <c r="D17" s="59">
        <f t="shared" si="4"/>
        <v>8</v>
      </c>
      <c r="E17" s="59">
        <f t="shared" si="4"/>
        <v>8</v>
      </c>
      <c r="F17" s="59">
        <f t="shared" ref="F17" si="5">SUM(F15:F16)</f>
        <v>8</v>
      </c>
      <c r="G17" s="59">
        <f t="shared" si="4"/>
        <v>8</v>
      </c>
      <c r="H17" s="60"/>
      <c r="I17" s="60"/>
      <c r="J17" s="59">
        <f t="shared" si="4"/>
        <v>0</v>
      </c>
      <c r="K17" s="59">
        <f t="shared" si="4"/>
        <v>8</v>
      </c>
      <c r="L17" s="59">
        <f t="shared" si="4"/>
        <v>8</v>
      </c>
      <c r="M17" s="59">
        <f t="shared" si="4"/>
        <v>8</v>
      </c>
      <c r="N17" s="59">
        <f t="shared" si="4"/>
        <v>8</v>
      </c>
      <c r="O17" s="60"/>
      <c r="P17" s="60"/>
      <c r="Q17" s="59">
        <f t="shared" si="4"/>
        <v>8</v>
      </c>
      <c r="R17" s="59">
        <f t="shared" si="4"/>
        <v>8</v>
      </c>
      <c r="S17" s="59">
        <f t="shared" si="4"/>
        <v>0</v>
      </c>
      <c r="T17" s="59">
        <f t="shared" si="4"/>
        <v>8</v>
      </c>
      <c r="U17" s="59">
        <f t="shared" si="4"/>
        <v>8</v>
      </c>
      <c r="V17" s="60"/>
      <c r="W17" s="60"/>
      <c r="X17" s="59">
        <f t="shared" si="4"/>
        <v>8</v>
      </c>
      <c r="Y17" s="59">
        <f t="shared" si="4"/>
        <v>8</v>
      </c>
      <c r="Z17" s="59">
        <f t="shared" si="4"/>
        <v>8</v>
      </c>
      <c r="AA17" s="59">
        <f t="shared" si="4"/>
        <v>8</v>
      </c>
      <c r="AB17" s="59">
        <f t="shared" si="4"/>
        <v>8</v>
      </c>
      <c r="AC17" s="60"/>
      <c r="AD17" s="60"/>
      <c r="AE17" s="59">
        <f t="shared" ref="AE17:AF17" si="6">SUM(AE15:AE16)</f>
        <v>8</v>
      </c>
      <c r="AF17" s="59">
        <f t="shared" si="6"/>
        <v>8</v>
      </c>
      <c r="AG17" s="61">
        <f t="shared" ref="AG17:AL17" si="7">SUM(AG15:AG16)</f>
        <v>160</v>
      </c>
      <c r="AH17" s="62">
        <f t="shared" si="7"/>
        <v>20</v>
      </c>
      <c r="AI17" s="62">
        <f t="shared" si="7"/>
        <v>16</v>
      </c>
      <c r="AJ17" s="62">
        <f t="shared" si="7"/>
        <v>2</v>
      </c>
      <c r="AK17" s="62">
        <f t="shared" si="7"/>
        <v>0</v>
      </c>
      <c r="AL17" s="63">
        <f t="shared" si="7"/>
        <v>0</v>
      </c>
      <c r="AM17" s="39"/>
    </row>
    <row r="18" spans="1:39" ht="12.95"/>
    <row r="19" spans="1:39" ht="12.95">
      <c r="A19" s="2"/>
      <c r="I19" s="492" t="s">
        <v>30</v>
      </c>
      <c r="J19" s="492"/>
      <c r="K19" s="492"/>
      <c r="L19" s="492"/>
      <c r="M19" s="492"/>
      <c r="N19" s="492"/>
      <c r="O19" s="492"/>
      <c r="P19" s="483" t="s">
        <v>31</v>
      </c>
      <c r="Q19" s="483"/>
      <c r="R19" s="483"/>
      <c r="S19" s="483"/>
      <c r="T19" s="483"/>
      <c r="U19" s="483"/>
      <c r="V19" s="483"/>
    </row>
    <row r="20" spans="1:39" ht="12.95"/>
    <row r="21" spans="1:39" ht="12.95">
      <c r="I21" s="482" t="s">
        <v>32</v>
      </c>
      <c r="J21" s="482"/>
      <c r="K21" s="482"/>
      <c r="L21" s="482"/>
      <c r="M21" s="482"/>
      <c r="N21" s="482"/>
      <c r="O21" s="482"/>
      <c r="P21" s="483"/>
      <c r="Q21" s="483"/>
      <c r="R21" s="483"/>
      <c r="S21" s="483"/>
      <c r="T21" s="483"/>
      <c r="U21" s="483"/>
      <c r="V21" s="483"/>
    </row>
    <row r="22" spans="1:39" ht="12.95">
      <c r="I22" s="2"/>
      <c r="J22" s="2"/>
      <c r="K22" s="2"/>
      <c r="L22" s="2"/>
      <c r="M22" s="2"/>
      <c r="N22" s="2"/>
      <c r="O22" s="2"/>
    </row>
    <row r="23" spans="1:39" ht="12.95">
      <c r="I23" s="2"/>
      <c r="J23" s="2"/>
      <c r="K23" s="2"/>
      <c r="L23" s="2"/>
      <c r="M23" s="2"/>
      <c r="N23" s="2"/>
      <c r="O23" s="2"/>
    </row>
    <row r="24" spans="1:39" ht="12.95">
      <c r="I24" s="492" t="s">
        <v>33</v>
      </c>
      <c r="J24" s="492"/>
      <c r="K24" s="492"/>
      <c r="L24" s="492"/>
      <c r="M24" s="492"/>
      <c r="N24" s="492"/>
      <c r="O24" s="492"/>
      <c r="P24" s="483" t="s">
        <v>31</v>
      </c>
      <c r="Q24" s="483"/>
      <c r="R24" s="483"/>
      <c r="S24" s="483"/>
      <c r="T24" s="483"/>
      <c r="U24" s="483"/>
      <c r="V24" s="483"/>
    </row>
    <row r="25" spans="1:39" ht="12.95">
      <c r="I25" s="482" t="s">
        <v>34</v>
      </c>
      <c r="J25" s="482"/>
      <c r="K25" s="482"/>
      <c r="L25" s="482"/>
      <c r="M25" s="482"/>
      <c r="N25" s="482"/>
      <c r="O25" s="482"/>
      <c r="P25" s="483"/>
      <c r="Q25" s="483"/>
      <c r="R25" s="483"/>
      <c r="S25" s="483"/>
      <c r="T25" s="483"/>
      <c r="U25" s="483"/>
      <c r="V25" s="483"/>
    </row>
    <row r="26" spans="1:39" ht="12.95">
      <c r="I26" s="482" t="s">
        <v>35</v>
      </c>
      <c r="J26" s="482"/>
      <c r="K26" s="482"/>
      <c r="L26" s="482"/>
      <c r="M26" s="482"/>
      <c r="N26" s="482"/>
      <c r="O26" s="482"/>
      <c r="P26" s="483"/>
      <c r="Q26" s="483"/>
      <c r="R26" s="483"/>
      <c r="S26" s="483"/>
      <c r="T26" s="483"/>
      <c r="U26" s="483"/>
      <c r="V26" s="483"/>
    </row>
    <row r="27" spans="1:39" ht="12.95">
      <c r="I27" s="482" t="s">
        <v>32</v>
      </c>
      <c r="J27" s="482"/>
      <c r="K27" s="482"/>
      <c r="L27" s="482"/>
      <c r="M27" s="482"/>
      <c r="N27" s="482"/>
      <c r="O27" s="482"/>
      <c r="P27" s="483"/>
      <c r="Q27" s="483"/>
      <c r="R27" s="483"/>
      <c r="S27" s="483"/>
      <c r="T27" s="483"/>
      <c r="U27" s="483"/>
      <c r="V27" s="483"/>
    </row>
    <row r="28" spans="1:39" ht="12.95">
      <c r="I28" s="4"/>
      <c r="J28" s="4"/>
      <c r="K28" s="4"/>
      <c r="L28" s="4"/>
      <c r="M28" s="4"/>
      <c r="N28" s="4"/>
      <c r="O28" s="4"/>
      <c r="P28" s="2"/>
      <c r="Q28" s="2"/>
      <c r="R28" s="2"/>
      <c r="S28" s="2"/>
      <c r="T28" s="2"/>
      <c r="U28" s="2"/>
      <c r="V28" s="2"/>
      <c r="AC28" s="1" t="s">
        <v>36</v>
      </c>
    </row>
    <row r="29" spans="1:39" ht="12.95">
      <c r="I29" s="4"/>
      <c r="J29" s="4"/>
      <c r="K29" s="4"/>
      <c r="L29" s="4"/>
      <c r="M29" s="4"/>
      <c r="N29" s="4"/>
      <c r="O29" s="4"/>
      <c r="P29" s="2"/>
      <c r="Q29" s="2"/>
      <c r="R29" s="2"/>
      <c r="S29" s="2"/>
      <c r="T29" s="2"/>
      <c r="U29" s="2"/>
      <c r="V29" s="2"/>
    </row>
    <row r="30" spans="1:39" ht="12.95">
      <c r="I30" s="4"/>
      <c r="J30" s="4"/>
      <c r="K30" s="4"/>
      <c r="L30" s="4"/>
      <c r="M30" s="4"/>
      <c r="N30" s="4"/>
      <c r="O30" s="4"/>
      <c r="P30" s="2"/>
      <c r="Q30" s="2"/>
      <c r="R30" s="2"/>
      <c r="S30" s="2"/>
      <c r="T30" s="2"/>
      <c r="U30" s="2"/>
      <c r="V30" s="2"/>
    </row>
    <row r="31" spans="1:39" ht="12.95">
      <c r="I31" s="4"/>
      <c r="J31" s="4"/>
      <c r="K31" s="4"/>
      <c r="L31" s="4"/>
      <c r="M31" s="4"/>
      <c r="N31" s="4"/>
      <c r="O31" s="4"/>
      <c r="P31" s="2"/>
      <c r="Q31" s="2"/>
      <c r="R31" s="2"/>
      <c r="S31" s="2"/>
      <c r="T31" s="2"/>
      <c r="U31" s="2"/>
      <c r="V31" s="2"/>
    </row>
    <row r="32" spans="1:39" ht="12.95">
      <c r="I32" s="4"/>
      <c r="J32" s="4"/>
      <c r="K32" s="4"/>
      <c r="L32" s="4"/>
      <c r="M32" s="4"/>
      <c r="N32" s="4"/>
      <c r="O32" s="4"/>
      <c r="P32" s="2"/>
      <c r="Q32" s="2"/>
      <c r="R32" s="2"/>
      <c r="S32" s="2"/>
      <c r="T32" s="2"/>
      <c r="U32" s="2"/>
      <c r="V32" s="2"/>
    </row>
    <row r="33" spans="1:39" ht="12.95">
      <c r="I33" s="4"/>
      <c r="J33" s="4"/>
      <c r="K33" s="4"/>
      <c r="L33" s="4"/>
      <c r="M33" s="4"/>
      <c r="N33" s="4"/>
      <c r="O33" s="4"/>
      <c r="P33" s="2"/>
      <c r="Q33" s="2"/>
      <c r="R33" s="2"/>
      <c r="S33" s="2"/>
      <c r="T33" s="2"/>
      <c r="U33" s="2"/>
      <c r="V33" s="2"/>
    </row>
    <row r="34" spans="1:39" ht="12.95">
      <c r="I34" s="4"/>
      <c r="J34" s="4"/>
      <c r="K34" s="4"/>
      <c r="L34" s="4"/>
      <c r="M34" s="4"/>
      <c r="N34" s="4"/>
      <c r="O34" s="4"/>
      <c r="P34" s="2"/>
      <c r="Q34" s="2"/>
      <c r="R34" s="2"/>
      <c r="S34" s="2"/>
      <c r="T34" s="2"/>
      <c r="U34" s="2"/>
      <c r="V34" s="2"/>
    </row>
    <row r="35" spans="1:39" ht="12.95">
      <c r="I35" s="4"/>
      <c r="J35" s="4"/>
      <c r="K35" s="4"/>
      <c r="L35" s="4"/>
      <c r="M35" s="4"/>
      <c r="N35" s="4"/>
      <c r="O35" s="4"/>
      <c r="P35" s="2"/>
      <c r="Q35" s="2"/>
      <c r="R35" s="2"/>
      <c r="S35" s="2"/>
      <c r="T35" s="2"/>
      <c r="U35" s="2"/>
      <c r="V35" s="2"/>
    </row>
    <row r="36" spans="1:39" ht="12.95">
      <c r="I36" s="4"/>
      <c r="J36" s="4"/>
      <c r="K36" s="4"/>
      <c r="L36" s="4"/>
      <c r="M36" s="4"/>
      <c r="N36" s="4"/>
      <c r="O36" s="4"/>
      <c r="P36" s="2"/>
      <c r="Q36" s="2"/>
      <c r="R36" s="2"/>
      <c r="S36" s="2"/>
      <c r="T36" s="2"/>
      <c r="U36" s="2"/>
      <c r="V36" s="2"/>
    </row>
    <row r="37" spans="1:39" ht="12.95">
      <c r="I37" s="4"/>
      <c r="J37" s="4"/>
      <c r="K37" s="4"/>
      <c r="L37" s="4"/>
      <c r="M37" s="4"/>
      <c r="N37" s="4"/>
      <c r="O37" s="4"/>
      <c r="P37" s="2"/>
      <c r="Q37" s="2"/>
      <c r="R37" s="2"/>
      <c r="S37" s="2"/>
      <c r="T37" s="2"/>
      <c r="U37" s="2"/>
      <c r="V37" s="2"/>
    </row>
    <row r="38" spans="1:39" ht="12.95">
      <c r="I38" s="4"/>
      <c r="J38" s="4"/>
      <c r="K38" s="4"/>
      <c r="L38" s="4"/>
      <c r="M38" s="4"/>
      <c r="N38" s="4"/>
      <c r="O38" s="4"/>
      <c r="P38" s="2"/>
      <c r="Q38" s="2"/>
      <c r="R38" s="2"/>
      <c r="S38" s="2"/>
      <c r="T38" s="2"/>
      <c r="U38" s="2"/>
      <c r="V38" s="2"/>
    </row>
    <row r="39" spans="1:39" ht="12.95">
      <c r="I39" s="4"/>
      <c r="J39" s="4"/>
      <c r="K39" s="4"/>
      <c r="L39" s="4"/>
      <c r="M39" s="4"/>
      <c r="N39" s="4"/>
      <c r="O39" s="4"/>
      <c r="P39" s="2"/>
      <c r="Q39" s="2"/>
      <c r="R39" s="2"/>
      <c r="S39" s="2"/>
      <c r="T39" s="2"/>
      <c r="U39" s="2"/>
      <c r="V39" s="2"/>
    </row>
    <row r="40" spans="1:39" ht="12.95">
      <c r="I40" s="4"/>
      <c r="J40" s="4"/>
      <c r="K40" s="4"/>
      <c r="L40" s="4"/>
      <c r="M40" s="4"/>
      <c r="N40" s="4"/>
      <c r="O40" s="4"/>
      <c r="P40" s="2"/>
      <c r="Q40" s="2"/>
      <c r="R40" s="2"/>
      <c r="S40" s="2"/>
      <c r="T40" s="2"/>
      <c r="U40" s="2"/>
      <c r="V40" s="2"/>
    </row>
    <row r="41" spans="1:39" ht="12.95">
      <c r="I41" s="4"/>
      <c r="J41" s="4"/>
      <c r="K41" s="4"/>
      <c r="L41" s="4"/>
      <c r="M41" s="4"/>
      <c r="N41" s="4"/>
      <c r="O41" s="4"/>
      <c r="P41" s="2"/>
      <c r="Q41" s="2"/>
      <c r="R41" s="2"/>
      <c r="S41" s="2"/>
      <c r="T41" s="2"/>
      <c r="U41" s="2"/>
      <c r="V41" s="2"/>
    </row>
    <row r="42" spans="1:39" ht="12.95">
      <c r="I42" s="4"/>
      <c r="J42" s="4"/>
      <c r="K42" s="4"/>
      <c r="L42" s="4"/>
      <c r="M42" s="4"/>
      <c r="N42" s="4"/>
      <c r="O42" s="4"/>
      <c r="P42" s="2"/>
      <c r="Q42" s="2"/>
      <c r="R42" s="2"/>
      <c r="S42" s="2"/>
      <c r="T42" s="2"/>
      <c r="U42" s="2"/>
      <c r="V42" s="2"/>
    </row>
    <row r="43" spans="1:39" ht="12.95">
      <c r="I43" s="4"/>
      <c r="J43" s="4"/>
      <c r="K43" s="4"/>
      <c r="L43" s="4"/>
      <c r="M43" s="4"/>
      <c r="N43" s="4"/>
      <c r="O43" s="4"/>
      <c r="P43" s="2"/>
      <c r="Q43" s="2"/>
      <c r="R43" s="2"/>
      <c r="S43" s="2"/>
      <c r="T43" s="2"/>
      <c r="U43" s="2"/>
      <c r="V43" s="2"/>
    </row>
    <row r="44" spans="1:39" ht="12.95">
      <c r="I44" s="4"/>
      <c r="J44" s="4"/>
      <c r="K44" s="4"/>
      <c r="L44" s="4"/>
      <c r="M44" s="4"/>
      <c r="N44" s="4"/>
      <c r="O44" s="4"/>
      <c r="P44" s="2"/>
      <c r="Q44" s="2"/>
      <c r="R44" s="2"/>
      <c r="S44" s="2"/>
      <c r="T44" s="2"/>
      <c r="U44" s="2"/>
      <c r="V44" s="2"/>
    </row>
    <row r="45" spans="1:39" ht="13.5" thickBot="1">
      <c r="I45" s="4"/>
      <c r="J45" s="4"/>
      <c r="K45" s="4"/>
      <c r="L45" s="4"/>
      <c r="M45" s="4"/>
      <c r="N45" s="4"/>
      <c r="O45" s="4"/>
      <c r="P45" s="2"/>
      <c r="Q45" s="2"/>
      <c r="R45" s="2"/>
      <c r="S45" s="2"/>
      <c r="T45" s="2"/>
      <c r="U45" s="2"/>
      <c r="V45" s="2"/>
    </row>
    <row r="46" spans="1:39" ht="12.95">
      <c r="A46" s="218"/>
      <c r="B46" s="219"/>
      <c r="C46" s="219"/>
      <c r="D46" s="219"/>
      <c r="E46" s="219"/>
      <c r="F46" s="219"/>
      <c r="G46" s="219"/>
      <c r="H46" s="219"/>
      <c r="I46" s="220"/>
      <c r="J46" s="220"/>
      <c r="K46" s="220"/>
      <c r="L46" s="220"/>
      <c r="M46" s="220"/>
      <c r="N46" s="220"/>
      <c r="O46" s="220"/>
      <c r="P46" s="221"/>
      <c r="Q46" s="221"/>
      <c r="R46" s="221"/>
      <c r="S46" s="221"/>
      <c r="T46" s="221"/>
      <c r="U46" s="221"/>
      <c r="V46" s="221"/>
      <c r="W46" s="219"/>
      <c r="X46" s="219"/>
      <c r="Y46" s="219"/>
      <c r="Z46" s="219"/>
      <c r="AA46" s="219"/>
      <c r="AB46" s="219"/>
      <c r="AC46" s="219"/>
      <c r="AD46" s="219"/>
      <c r="AE46" s="219"/>
      <c r="AF46" s="219"/>
      <c r="AG46" s="219"/>
      <c r="AH46" s="219"/>
      <c r="AI46" s="219"/>
      <c r="AJ46" s="219"/>
      <c r="AK46" s="219"/>
      <c r="AL46" s="219"/>
      <c r="AM46" s="222"/>
    </row>
    <row r="47" spans="1:39" ht="12.95">
      <c r="A47" s="223"/>
      <c r="B47" s="224"/>
      <c r="C47" s="224"/>
      <c r="D47" s="224"/>
      <c r="E47" s="224"/>
      <c r="F47" s="224"/>
      <c r="G47" s="224"/>
      <c r="H47" s="224"/>
      <c r="I47" s="225"/>
      <c r="J47" s="225"/>
      <c r="K47" s="225"/>
      <c r="L47" s="225"/>
      <c r="M47" s="225"/>
      <c r="N47" s="225"/>
      <c r="O47" s="225"/>
      <c r="P47" s="226"/>
      <c r="Q47" s="226"/>
      <c r="R47" s="226"/>
      <c r="S47" s="226"/>
      <c r="T47" s="226"/>
      <c r="U47" s="226"/>
      <c r="V47" s="226"/>
      <c r="W47" s="224"/>
      <c r="X47" s="224"/>
      <c r="Y47" s="224"/>
      <c r="Z47" s="224"/>
      <c r="AA47" s="224"/>
      <c r="AB47" s="224"/>
      <c r="AC47" s="224"/>
      <c r="AD47" s="224"/>
      <c r="AE47" s="224"/>
      <c r="AF47" s="224"/>
      <c r="AG47" s="224"/>
      <c r="AH47" s="224"/>
      <c r="AI47" s="224"/>
      <c r="AJ47" s="224"/>
      <c r="AK47" s="224"/>
      <c r="AL47" s="224"/>
      <c r="AM47" s="227"/>
    </row>
    <row r="48" spans="1:39" ht="12.75" customHeight="1">
      <c r="A48" s="223"/>
      <c r="B48" s="224"/>
      <c r="C48" s="224"/>
      <c r="D48" s="224"/>
      <c r="E48" s="224"/>
      <c r="F48" s="224"/>
      <c r="G48" s="224"/>
      <c r="H48" s="224"/>
      <c r="I48" s="224"/>
      <c r="J48" s="224"/>
      <c r="K48" s="224"/>
      <c r="L48" s="224"/>
      <c r="M48" s="224"/>
      <c r="N48" s="224"/>
      <c r="O48" s="224"/>
      <c r="P48" s="224"/>
      <c r="Q48" s="224"/>
      <c r="R48" s="224"/>
      <c r="S48" s="224"/>
      <c r="T48" s="224"/>
      <c r="U48" s="224"/>
      <c r="V48" s="224"/>
      <c r="W48" s="224"/>
      <c r="X48" s="224"/>
      <c r="Y48" s="224"/>
      <c r="Z48" s="224"/>
      <c r="AA48" s="224"/>
      <c r="AB48" s="224"/>
      <c r="AC48" s="224"/>
      <c r="AD48" s="224"/>
      <c r="AE48" s="224"/>
      <c r="AF48" s="224"/>
      <c r="AG48" s="224"/>
      <c r="AH48" s="224"/>
      <c r="AI48" s="224"/>
      <c r="AJ48" s="224"/>
      <c r="AK48" s="224"/>
      <c r="AL48" s="224"/>
      <c r="AM48" s="227"/>
    </row>
    <row r="49" spans="1:54" ht="14.1" customHeight="1">
      <c r="A49" s="223"/>
      <c r="B49" s="224"/>
      <c r="C49" s="224"/>
      <c r="D49" s="224"/>
      <c r="E49" s="224"/>
      <c r="F49" s="224"/>
      <c r="G49" s="224"/>
      <c r="H49" s="224"/>
      <c r="I49" s="224"/>
      <c r="J49" s="224"/>
      <c r="K49" s="224"/>
      <c r="L49" s="224"/>
      <c r="M49" s="224"/>
      <c r="N49" s="224"/>
      <c r="O49" s="224"/>
      <c r="P49" s="224"/>
      <c r="Q49" s="224"/>
      <c r="R49" s="224"/>
      <c r="S49" s="224"/>
      <c r="T49" s="224"/>
      <c r="U49" s="224"/>
      <c r="V49" s="224"/>
      <c r="W49" s="224"/>
      <c r="X49" s="224"/>
      <c r="Y49" s="224"/>
      <c r="Z49" s="224"/>
      <c r="AA49" s="224"/>
      <c r="AB49" s="224"/>
      <c r="AC49" s="224"/>
      <c r="AD49" s="224"/>
      <c r="AE49" s="224"/>
      <c r="AF49" s="224"/>
      <c r="AG49" s="224"/>
      <c r="AH49" s="224"/>
      <c r="AI49" s="224"/>
      <c r="AJ49" s="224"/>
      <c r="AK49" s="224"/>
      <c r="AL49" s="224"/>
      <c r="AM49" s="227"/>
    </row>
    <row r="50" spans="1:54" ht="12.75" customHeight="1">
      <c r="A50" s="223"/>
      <c r="B50" s="224"/>
      <c r="C50" s="224"/>
      <c r="D50" s="224"/>
      <c r="E50" s="224"/>
      <c r="F50" s="224"/>
      <c r="G50" s="224"/>
      <c r="H50" s="224"/>
      <c r="I50" s="224"/>
      <c r="J50" s="224"/>
      <c r="K50" s="224"/>
      <c r="L50" s="224"/>
      <c r="M50" s="224"/>
      <c r="N50" s="224"/>
      <c r="O50" s="224"/>
      <c r="P50" s="224"/>
      <c r="Q50" s="224"/>
      <c r="R50" s="224"/>
      <c r="S50" s="224"/>
      <c r="T50" s="224"/>
      <c r="U50" s="224"/>
      <c r="V50" s="224"/>
      <c r="W50" s="224"/>
      <c r="X50" s="224"/>
      <c r="Y50" s="224"/>
      <c r="Z50" s="224"/>
      <c r="AA50" s="224"/>
      <c r="AB50" s="224"/>
      <c r="AC50" s="224"/>
      <c r="AD50" s="224"/>
      <c r="AE50" s="224"/>
      <c r="AF50" s="224"/>
      <c r="AG50" s="224"/>
      <c r="AH50" s="224"/>
      <c r="AI50" s="224"/>
      <c r="AJ50" s="224"/>
      <c r="AK50" s="224"/>
      <c r="AL50" s="224"/>
      <c r="AM50" s="227"/>
    </row>
    <row r="51" spans="1:54" ht="13.5" thickBot="1">
      <c r="A51" s="228"/>
      <c r="B51" s="229"/>
      <c r="C51" s="229"/>
      <c r="D51" s="229"/>
      <c r="E51" s="229"/>
      <c r="F51" s="229"/>
      <c r="G51" s="229"/>
      <c r="H51" s="229"/>
      <c r="I51" s="229"/>
      <c r="J51" s="229"/>
      <c r="K51" s="229"/>
      <c r="L51" s="229"/>
      <c r="M51" s="229"/>
      <c r="N51" s="229"/>
      <c r="O51" s="229"/>
      <c r="P51" s="229"/>
      <c r="Q51" s="229"/>
      <c r="R51" s="229"/>
      <c r="S51" s="229"/>
      <c r="T51" s="229"/>
      <c r="U51" s="229"/>
      <c r="V51" s="229"/>
      <c r="W51" s="229"/>
      <c r="X51" s="229"/>
      <c r="Y51" s="229"/>
      <c r="Z51" s="229"/>
      <c r="AA51" s="229"/>
      <c r="AB51" s="229"/>
      <c r="AC51" s="229"/>
      <c r="AD51" s="229"/>
      <c r="AE51" s="229"/>
      <c r="AF51" s="229"/>
      <c r="AG51" s="229"/>
      <c r="AH51" s="229"/>
      <c r="AI51" s="229"/>
      <c r="AJ51" s="229"/>
      <c r="AK51" s="229"/>
      <c r="AL51" s="229"/>
      <c r="AM51" s="230"/>
    </row>
    <row r="52" spans="1:54" ht="14.1" customHeight="1">
      <c r="A52" s="484" t="s">
        <v>37</v>
      </c>
      <c r="B52" s="485"/>
      <c r="C52" s="485"/>
      <c r="D52" s="485"/>
      <c r="E52" s="485"/>
      <c r="F52" s="486"/>
      <c r="G52" s="487" t="s">
        <v>38</v>
      </c>
      <c r="H52" s="488"/>
      <c r="I52" s="488"/>
      <c r="J52" s="488"/>
      <c r="K52" s="488"/>
      <c r="L52" s="488"/>
      <c r="M52" s="488"/>
      <c r="N52" s="488"/>
      <c r="O52" s="488"/>
      <c r="P52" s="488"/>
      <c r="Q52" s="488"/>
      <c r="R52" s="488"/>
      <c r="S52" s="488"/>
      <c r="T52" s="488"/>
      <c r="U52" s="488"/>
      <c r="V52" s="488"/>
      <c r="W52" s="488"/>
      <c r="X52" s="488"/>
      <c r="Y52" s="488"/>
      <c r="Z52" s="488"/>
      <c r="AA52" s="488"/>
      <c r="AB52" s="488"/>
      <c r="AC52" s="488"/>
      <c r="AD52" s="488"/>
      <c r="AE52" s="488"/>
      <c r="AF52" s="488"/>
      <c r="AG52" s="488"/>
      <c r="AH52" s="488"/>
      <c r="AI52" s="488"/>
      <c r="AJ52" s="488"/>
      <c r="AK52" s="488"/>
      <c r="AL52" s="488"/>
      <c r="AM52" s="489"/>
    </row>
    <row r="53" spans="1:54" ht="14.1" customHeight="1">
      <c r="A53" s="470" t="s">
        <v>39</v>
      </c>
      <c r="B53" s="471"/>
      <c r="C53" s="471"/>
      <c r="D53" s="471"/>
      <c r="E53" s="471"/>
      <c r="F53" s="472"/>
      <c r="G53" s="473" t="s">
        <v>40</v>
      </c>
      <c r="H53" s="474"/>
      <c r="I53" s="474"/>
      <c r="J53" s="474"/>
      <c r="K53" s="474"/>
      <c r="L53" s="474"/>
      <c r="M53" s="474"/>
      <c r="N53" s="474"/>
      <c r="O53" s="474"/>
      <c r="P53" s="474"/>
      <c r="Q53" s="474"/>
      <c r="R53" s="474"/>
      <c r="S53" s="474"/>
      <c r="T53" s="474"/>
      <c r="U53" s="474"/>
      <c r="V53" s="474"/>
      <c r="W53" s="474"/>
      <c r="X53" s="474"/>
      <c r="Y53" s="474"/>
      <c r="Z53" s="474"/>
      <c r="AA53" s="474"/>
      <c r="AB53" s="474"/>
      <c r="AC53" s="474"/>
      <c r="AD53" s="474"/>
      <c r="AE53" s="474"/>
      <c r="AF53" s="474"/>
      <c r="AG53" s="474"/>
      <c r="AH53" s="474"/>
      <c r="AI53" s="474"/>
      <c r="AJ53" s="474"/>
      <c r="AK53" s="474"/>
      <c r="AL53" s="474"/>
      <c r="AM53" s="475"/>
    </row>
    <row r="54" spans="1:54" ht="14.1" customHeight="1">
      <c r="A54" s="470" t="s">
        <v>41</v>
      </c>
      <c r="B54" s="471"/>
      <c r="C54" s="471"/>
      <c r="D54" s="471"/>
      <c r="E54" s="471"/>
      <c r="F54" s="472"/>
      <c r="G54" s="473" t="s">
        <v>42</v>
      </c>
      <c r="H54" s="474"/>
      <c r="I54" s="474"/>
      <c r="J54" s="474"/>
      <c r="K54" s="474"/>
      <c r="L54" s="474"/>
      <c r="M54" s="474"/>
      <c r="N54" s="474"/>
      <c r="O54" s="474"/>
      <c r="P54" s="474"/>
      <c r="Q54" s="474"/>
      <c r="R54" s="474"/>
      <c r="S54" s="474"/>
      <c r="T54" s="474"/>
      <c r="U54" s="474"/>
      <c r="V54" s="474"/>
      <c r="W54" s="474"/>
      <c r="X54" s="474"/>
      <c r="Y54" s="474"/>
      <c r="Z54" s="474"/>
      <c r="AA54" s="474"/>
      <c r="AB54" s="474"/>
      <c r="AC54" s="474"/>
      <c r="AD54" s="474"/>
      <c r="AE54" s="474"/>
      <c r="AF54" s="474"/>
      <c r="AG54" s="474"/>
      <c r="AH54" s="474"/>
      <c r="AI54" s="474"/>
      <c r="AJ54" s="474"/>
      <c r="AK54" s="474"/>
      <c r="AL54" s="474"/>
      <c r="AM54" s="475"/>
    </row>
    <row r="55" spans="1:54" ht="14.1" customHeight="1">
      <c r="A55" s="470" t="s">
        <v>43</v>
      </c>
      <c r="B55" s="471"/>
      <c r="C55" s="471"/>
      <c r="D55" s="471"/>
      <c r="E55" s="471"/>
      <c r="F55" s="472"/>
      <c r="G55" s="473" t="s">
        <v>44</v>
      </c>
      <c r="H55" s="474"/>
      <c r="I55" s="474"/>
      <c r="J55" s="474"/>
      <c r="K55" s="474"/>
      <c r="L55" s="474"/>
      <c r="M55" s="474"/>
      <c r="N55" s="474"/>
      <c r="O55" s="474"/>
      <c r="P55" s="474"/>
      <c r="Q55" s="474"/>
      <c r="R55" s="474"/>
      <c r="S55" s="474"/>
      <c r="T55" s="474"/>
      <c r="U55" s="474"/>
      <c r="V55" s="474"/>
      <c r="W55" s="474"/>
      <c r="X55" s="474"/>
      <c r="Y55" s="474"/>
      <c r="Z55" s="474"/>
      <c r="AA55" s="474"/>
      <c r="AB55" s="474"/>
      <c r="AC55" s="474"/>
      <c r="AD55" s="474"/>
      <c r="AE55" s="474"/>
      <c r="AF55" s="474"/>
      <c r="AG55" s="474"/>
      <c r="AH55" s="474"/>
      <c r="AI55" s="474"/>
      <c r="AJ55" s="474"/>
      <c r="AK55" s="474"/>
      <c r="AL55" s="474"/>
      <c r="AM55" s="475"/>
    </row>
    <row r="56" spans="1:54" ht="14.1" customHeight="1">
      <c r="A56" s="476" t="s">
        <v>45</v>
      </c>
      <c r="B56" s="477"/>
      <c r="C56" s="477"/>
      <c r="D56" s="477"/>
      <c r="E56" s="477"/>
      <c r="F56" s="478"/>
      <c r="G56" s="479" t="s">
        <v>46</v>
      </c>
      <c r="H56" s="480"/>
      <c r="I56" s="480"/>
      <c r="J56" s="480"/>
      <c r="K56" s="480"/>
      <c r="L56" s="480"/>
      <c r="M56" s="480"/>
      <c r="N56" s="480"/>
      <c r="O56" s="480"/>
      <c r="P56" s="480"/>
      <c r="Q56" s="480"/>
      <c r="R56" s="480"/>
      <c r="S56" s="480"/>
      <c r="T56" s="480"/>
      <c r="U56" s="480"/>
      <c r="V56" s="480"/>
      <c r="W56" s="480"/>
      <c r="X56" s="480"/>
      <c r="Y56" s="480"/>
      <c r="Z56" s="480"/>
      <c r="AA56" s="480"/>
      <c r="AB56" s="480"/>
      <c r="AC56" s="480"/>
      <c r="AD56" s="480"/>
      <c r="AE56" s="480"/>
      <c r="AF56" s="480"/>
      <c r="AG56" s="480"/>
      <c r="AH56" s="480"/>
      <c r="AI56" s="480"/>
      <c r="AJ56" s="480"/>
      <c r="AK56" s="480"/>
      <c r="AL56" s="480"/>
      <c r="AM56" s="481"/>
    </row>
    <row r="57" spans="1:54" s="6" customFormat="1" ht="47.25" customHeight="1">
      <c r="A57" s="69" t="s">
        <v>47</v>
      </c>
      <c r="B57" s="462" t="s">
        <v>48</v>
      </c>
      <c r="C57" s="462"/>
      <c r="D57" s="463" t="s">
        <v>49</v>
      </c>
      <c r="E57" s="464"/>
      <c r="F57" s="464"/>
      <c r="G57" s="464"/>
      <c r="H57" s="464"/>
      <c r="I57" s="464"/>
      <c r="J57" s="464"/>
      <c r="K57" s="464"/>
      <c r="L57" s="464"/>
      <c r="M57" s="464"/>
      <c r="N57" s="464"/>
      <c r="O57" s="464"/>
      <c r="P57" s="464"/>
      <c r="Q57" s="464"/>
      <c r="R57" s="464"/>
      <c r="S57" s="464"/>
      <c r="T57" s="464"/>
      <c r="U57" s="464"/>
      <c r="V57" s="464"/>
      <c r="W57" s="464"/>
      <c r="X57" s="464"/>
      <c r="Y57" s="464"/>
      <c r="Z57" s="464"/>
      <c r="AA57" s="464"/>
      <c r="AB57" s="464"/>
      <c r="AC57" s="464"/>
      <c r="AD57" s="464"/>
      <c r="AE57" s="464"/>
      <c r="AF57" s="464"/>
      <c r="AG57" s="464"/>
      <c r="AH57" s="464"/>
      <c r="AI57" s="464"/>
      <c r="AJ57" s="464"/>
      <c r="AK57" s="107" t="s">
        <v>50</v>
      </c>
      <c r="AL57" s="46" t="s">
        <v>51</v>
      </c>
      <c r="AM57" s="107" t="s">
        <v>52</v>
      </c>
      <c r="AN57" s="141" t="s">
        <v>53</v>
      </c>
      <c r="AO57" s="75" t="s">
        <v>54</v>
      </c>
      <c r="AP57" s="76" t="s">
        <v>55</v>
      </c>
      <c r="AQ57" s="76" t="s">
        <v>56</v>
      </c>
      <c r="AR57" s="76" t="s">
        <v>57</v>
      </c>
      <c r="AS57" s="76" t="s">
        <v>58</v>
      </c>
      <c r="AT57" s="76" t="s">
        <v>59</v>
      </c>
      <c r="AU57" s="76" t="s">
        <v>60</v>
      </c>
      <c r="AV57" s="76" t="s">
        <v>61</v>
      </c>
      <c r="AW57" s="76" t="s">
        <v>62</v>
      </c>
      <c r="AX57" s="76" t="s">
        <v>63</v>
      </c>
      <c r="AY57" s="76" t="s">
        <v>64</v>
      </c>
      <c r="AZ57" s="76" t="s">
        <v>65</v>
      </c>
      <c r="BA57" s="76" t="s">
        <v>66</v>
      </c>
      <c r="BB57" s="77" t="s">
        <v>67</v>
      </c>
    </row>
    <row r="58" spans="1:54" s="3" customFormat="1" ht="14.1" customHeight="1">
      <c r="A58" s="231">
        <v>46082</v>
      </c>
      <c r="B58" s="564"/>
      <c r="C58" s="565"/>
      <c r="D58" s="566"/>
      <c r="E58" s="566"/>
      <c r="F58" s="566"/>
      <c r="G58" s="566"/>
      <c r="H58" s="566"/>
      <c r="I58" s="566"/>
      <c r="J58" s="566"/>
      <c r="K58" s="566"/>
      <c r="L58" s="566"/>
      <c r="M58" s="566"/>
      <c r="N58" s="566"/>
      <c r="O58" s="566"/>
      <c r="P58" s="566"/>
      <c r="Q58" s="566"/>
      <c r="R58" s="566"/>
      <c r="S58" s="566"/>
      <c r="T58" s="566"/>
      <c r="U58" s="566"/>
      <c r="V58" s="566"/>
      <c r="W58" s="566"/>
      <c r="X58" s="566"/>
      <c r="Y58" s="566"/>
      <c r="Z58" s="566"/>
      <c r="AA58" s="566"/>
      <c r="AB58" s="566"/>
      <c r="AC58" s="566"/>
      <c r="AD58" s="566"/>
      <c r="AE58" s="566"/>
      <c r="AF58" s="566"/>
      <c r="AG58" s="566"/>
      <c r="AH58" s="566"/>
      <c r="AI58" s="566"/>
      <c r="AJ58" s="567"/>
      <c r="AK58" s="232"/>
      <c r="AL58" s="262"/>
      <c r="AM58" s="257"/>
      <c r="AN58" s="268"/>
      <c r="AO58" s="182">
        <f t="shared" ref="AO58:AO88" si="8">A58</f>
        <v>46082</v>
      </c>
      <c r="AP58" s="183" t="str">
        <f>LEFT(D58,6)</f>
        <v/>
      </c>
      <c r="AQ58" s="185"/>
      <c r="AR58" s="186"/>
      <c r="AS58" s="186"/>
      <c r="AT58" s="187"/>
      <c r="AU58" s="186"/>
      <c r="AV58" s="187"/>
      <c r="AW58" s="186"/>
      <c r="AX58" s="187"/>
      <c r="AY58" s="186"/>
      <c r="AZ58" s="186"/>
      <c r="BA58" s="187"/>
      <c r="BB58" s="188"/>
    </row>
    <row r="59" spans="1:54" s="3" customFormat="1" ht="27" customHeight="1">
      <c r="A59" s="111">
        <v>46083</v>
      </c>
      <c r="B59" s="568"/>
      <c r="C59" s="458"/>
      <c r="D59" s="455"/>
      <c r="E59" s="455"/>
      <c r="F59" s="455"/>
      <c r="G59" s="455"/>
      <c r="H59" s="455"/>
      <c r="I59" s="455"/>
      <c r="J59" s="455"/>
      <c r="K59" s="455"/>
      <c r="L59" s="455"/>
      <c r="M59" s="455"/>
      <c r="N59" s="455"/>
      <c r="O59" s="455"/>
      <c r="P59" s="455"/>
      <c r="Q59" s="455"/>
      <c r="R59" s="455"/>
      <c r="S59" s="455"/>
      <c r="T59" s="455"/>
      <c r="U59" s="455"/>
      <c r="V59" s="455"/>
      <c r="W59" s="455"/>
      <c r="X59" s="455"/>
      <c r="Y59" s="455"/>
      <c r="Z59" s="455"/>
      <c r="AA59" s="455"/>
      <c r="AB59" s="455"/>
      <c r="AC59" s="455"/>
      <c r="AD59" s="455"/>
      <c r="AE59" s="455"/>
      <c r="AF59" s="455"/>
      <c r="AG59" s="455"/>
      <c r="AH59" s="455"/>
      <c r="AI59" s="455"/>
      <c r="AJ59" s="456"/>
      <c r="AK59" s="112"/>
      <c r="AL59" s="263"/>
      <c r="AM59" s="258">
        <f>IF(AL59="CO", "CO", IF(COUNTIF(AO:AO, A59)=0, 0, (8-SUMIF(AO:AO, A59, AL:AL)) / COUNTIF(AO:AO, A59)))</f>
        <v>8</v>
      </c>
      <c r="AN59" s="269"/>
      <c r="AO59" s="139">
        <f t="shared" si="8"/>
        <v>46083</v>
      </c>
      <c r="AP59" s="114" t="str">
        <f t="shared" ref="AP59:AP88" si="9">LEFT(D59,6)</f>
        <v/>
      </c>
      <c r="AQ59" s="115"/>
      <c r="AR59" s="116"/>
      <c r="AS59" s="116"/>
      <c r="AT59" s="256"/>
      <c r="AU59" s="116"/>
      <c r="AV59" s="83"/>
      <c r="AW59" s="116"/>
      <c r="AX59" s="83"/>
      <c r="AY59" s="116"/>
      <c r="AZ59" s="116"/>
      <c r="BA59" s="116"/>
      <c r="BB59" s="117"/>
    </row>
    <row r="60" spans="1:54" s="3" customFormat="1" ht="76.5" customHeight="1">
      <c r="A60" s="111">
        <v>46084</v>
      </c>
      <c r="B60" s="454" t="s">
        <v>68</v>
      </c>
      <c r="C60" s="454"/>
      <c r="D60" s="455" t="s">
        <v>69</v>
      </c>
      <c r="E60" s="455"/>
      <c r="F60" s="455"/>
      <c r="G60" s="455"/>
      <c r="H60" s="455"/>
      <c r="I60" s="455"/>
      <c r="J60" s="455"/>
      <c r="K60" s="455"/>
      <c r="L60" s="455"/>
      <c r="M60" s="455"/>
      <c r="N60" s="455"/>
      <c r="O60" s="455"/>
      <c r="P60" s="455"/>
      <c r="Q60" s="455"/>
      <c r="R60" s="455"/>
      <c r="S60" s="455"/>
      <c r="T60" s="455"/>
      <c r="U60" s="455"/>
      <c r="V60" s="455"/>
      <c r="W60" s="455"/>
      <c r="X60" s="455"/>
      <c r="Y60" s="455"/>
      <c r="Z60" s="455"/>
      <c r="AA60" s="455"/>
      <c r="AB60" s="455"/>
      <c r="AC60" s="455"/>
      <c r="AD60" s="455"/>
      <c r="AE60" s="455"/>
      <c r="AF60" s="455"/>
      <c r="AG60" s="455"/>
      <c r="AH60" s="455"/>
      <c r="AI60" s="455"/>
      <c r="AJ60" s="456"/>
      <c r="AK60" s="112">
        <v>71.505681818181813</v>
      </c>
      <c r="AL60" s="263">
        <v>4</v>
      </c>
      <c r="AM60" s="258">
        <f>IF(AL60="CO", "CO", IF(COUNTIF(AO:AO, A60)=0, 0, (8-SUMIF(AO:AO, A60, AL:AL)) / COUNTIF(AO:AO, A60)))</f>
        <v>4</v>
      </c>
      <c r="AN60" s="270" t="s">
        <v>164</v>
      </c>
      <c r="AO60" s="139">
        <f t="shared" si="8"/>
        <v>46084</v>
      </c>
      <c r="AP60" s="114" t="str">
        <f t="shared" si="9"/>
        <v xml:space="preserve">SA1.1 </v>
      </c>
      <c r="AQ60" s="115" t="s">
        <v>76</v>
      </c>
      <c r="AR60" s="116" t="s">
        <v>77</v>
      </c>
      <c r="AS60" s="163" t="s">
        <v>78</v>
      </c>
      <c r="AT60" s="159" t="s">
        <v>165</v>
      </c>
      <c r="AU60" s="167"/>
      <c r="AV60" s="118"/>
      <c r="AW60" s="116"/>
      <c r="AX60" s="116"/>
      <c r="AY60" s="116"/>
      <c r="AZ60" s="116"/>
      <c r="BA60" s="116"/>
      <c r="BB60" s="117"/>
    </row>
    <row r="61" spans="1:54" s="3" customFormat="1" ht="76.5">
      <c r="A61" s="111">
        <v>46085</v>
      </c>
      <c r="B61" s="454" t="s">
        <v>68</v>
      </c>
      <c r="C61" s="454"/>
      <c r="D61" s="455" t="s">
        <v>69</v>
      </c>
      <c r="E61" s="455"/>
      <c r="F61" s="455"/>
      <c r="G61" s="455"/>
      <c r="H61" s="455"/>
      <c r="I61" s="455"/>
      <c r="J61" s="455"/>
      <c r="K61" s="455"/>
      <c r="L61" s="455"/>
      <c r="M61" s="455"/>
      <c r="N61" s="455"/>
      <c r="O61" s="455"/>
      <c r="P61" s="455"/>
      <c r="Q61" s="455"/>
      <c r="R61" s="455"/>
      <c r="S61" s="455"/>
      <c r="T61" s="455"/>
      <c r="U61" s="455"/>
      <c r="V61" s="455"/>
      <c r="W61" s="455"/>
      <c r="X61" s="455"/>
      <c r="Y61" s="455"/>
      <c r="Z61" s="455"/>
      <c r="AA61" s="455"/>
      <c r="AB61" s="455"/>
      <c r="AC61" s="455"/>
      <c r="AD61" s="455"/>
      <c r="AE61" s="455"/>
      <c r="AF61" s="455"/>
      <c r="AG61" s="455"/>
      <c r="AH61" s="455"/>
      <c r="AI61" s="455"/>
      <c r="AJ61" s="456"/>
      <c r="AK61" s="112">
        <v>71.505681818181813</v>
      </c>
      <c r="AL61" s="264">
        <v>3</v>
      </c>
      <c r="AM61" s="258">
        <f>IF(AL61="CO", "CO", IF(COUNTIF(AO:AO, A61)=0, 0, (8-SUMIF(AO:AO, A61, AL:AL)) / COUNTIF(AO:AO, A61)))</f>
        <v>5</v>
      </c>
      <c r="AN61" s="271" t="s">
        <v>166</v>
      </c>
      <c r="AO61" s="139">
        <f t="shared" si="8"/>
        <v>46085</v>
      </c>
      <c r="AP61" s="114" t="str">
        <f t="shared" si="9"/>
        <v xml:space="preserve">SA1.1 </v>
      </c>
      <c r="AQ61" s="115" t="s">
        <v>76</v>
      </c>
      <c r="AR61" s="116" t="s">
        <v>77</v>
      </c>
      <c r="AS61" s="163" t="s">
        <v>78</v>
      </c>
      <c r="AT61" s="159" t="s">
        <v>167</v>
      </c>
      <c r="AU61" s="167"/>
      <c r="AV61" s="118"/>
      <c r="AW61" s="116"/>
      <c r="AX61" s="118"/>
      <c r="AY61" s="116"/>
      <c r="AZ61" s="116"/>
      <c r="BA61" s="116"/>
      <c r="BB61" s="119"/>
    </row>
    <row r="62" spans="1:54" s="3" customFormat="1" ht="57.95">
      <c r="A62" s="111">
        <v>46086</v>
      </c>
      <c r="B62" s="454" t="s">
        <v>68</v>
      </c>
      <c r="C62" s="454"/>
      <c r="D62" s="455" t="s">
        <v>69</v>
      </c>
      <c r="E62" s="455"/>
      <c r="F62" s="455"/>
      <c r="G62" s="455"/>
      <c r="H62" s="455"/>
      <c r="I62" s="455"/>
      <c r="J62" s="455"/>
      <c r="K62" s="455"/>
      <c r="L62" s="455"/>
      <c r="M62" s="455"/>
      <c r="N62" s="455"/>
      <c r="O62" s="455"/>
      <c r="P62" s="455"/>
      <c r="Q62" s="455"/>
      <c r="R62" s="455"/>
      <c r="S62" s="455"/>
      <c r="T62" s="455"/>
      <c r="U62" s="455"/>
      <c r="V62" s="455"/>
      <c r="W62" s="455"/>
      <c r="X62" s="455"/>
      <c r="Y62" s="455"/>
      <c r="Z62" s="455"/>
      <c r="AA62" s="455"/>
      <c r="AB62" s="455"/>
      <c r="AC62" s="455"/>
      <c r="AD62" s="455"/>
      <c r="AE62" s="455"/>
      <c r="AF62" s="455"/>
      <c r="AG62" s="455"/>
      <c r="AH62" s="455"/>
      <c r="AI62" s="455"/>
      <c r="AJ62" s="456"/>
      <c r="AK62" s="112">
        <v>71.505681818181813</v>
      </c>
      <c r="AL62" s="263">
        <v>4</v>
      </c>
      <c r="AM62" s="258">
        <f>IF(AL62="CO", "CO", IF(COUNTIF(AO:AO, A62)=0, 0, (8-SUMIF(AO:AO, A62, AL:AL)) / COUNTIF(AO:AO, A62)))</f>
        <v>4</v>
      </c>
      <c r="AN62" s="353" t="s">
        <v>168</v>
      </c>
      <c r="AO62" s="139">
        <f t="shared" si="8"/>
        <v>46086</v>
      </c>
      <c r="AP62" s="114" t="str">
        <f t="shared" si="9"/>
        <v xml:space="preserve">SA1.1 </v>
      </c>
      <c r="AQ62" s="115" t="s">
        <v>71</v>
      </c>
      <c r="AR62" s="116" t="s">
        <v>169</v>
      </c>
      <c r="AS62" s="163" t="s">
        <v>78</v>
      </c>
      <c r="AT62" s="159" t="s">
        <v>170</v>
      </c>
      <c r="AU62" s="167"/>
      <c r="AV62" s="84"/>
      <c r="AW62" s="116"/>
      <c r="AX62" s="116"/>
      <c r="AY62" s="116"/>
      <c r="AZ62" s="116"/>
      <c r="BA62" s="116"/>
      <c r="BB62" s="119"/>
    </row>
    <row r="63" spans="1:54" s="3" customFormat="1" ht="72.599999999999994">
      <c r="A63" s="111">
        <v>46087</v>
      </c>
      <c r="B63" s="454" t="s">
        <v>68</v>
      </c>
      <c r="C63" s="454"/>
      <c r="D63" s="455" t="s">
        <v>69</v>
      </c>
      <c r="E63" s="455"/>
      <c r="F63" s="455"/>
      <c r="G63" s="455"/>
      <c r="H63" s="455"/>
      <c r="I63" s="455"/>
      <c r="J63" s="455"/>
      <c r="K63" s="455"/>
      <c r="L63" s="455"/>
      <c r="M63" s="455"/>
      <c r="N63" s="455"/>
      <c r="O63" s="455"/>
      <c r="P63" s="455"/>
      <c r="Q63" s="455"/>
      <c r="R63" s="455"/>
      <c r="S63" s="455"/>
      <c r="T63" s="455"/>
      <c r="U63" s="455"/>
      <c r="V63" s="455"/>
      <c r="W63" s="455"/>
      <c r="X63" s="455"/>
      <c r="Y63" s="455"/>
      <c r="Z63" s="455"/>
      <c r="AA63" s="455"/>
      <c r="AB63" s="455"/>
      <c r="AC63" s="455"/>
      <c r="AD63" s="455"/>
      <c r="AE63" s="455"/>
      <c r="AF63" s="455"/>
      <c r="AG63" s="455"/>
      <c r="AH63" s="455"/>
      <c r="AI63" s="455"/>
      <c r="AJ63" s="456"/>
      <c r="AK63" s="112">
        <v>71.505681818181813</v>
      </c>
      <c r="AL63" s="263">
        <v>5</v>
      </c>
      <c r="AM63" s="258">
        <f>IF(AL63="CO", "CO", IF(COUNTIF(AO:AO, A63)=0, 0, (8-SUMIF(AO:AO, A63, AL:AL)) / COUNTIF(AO:AO, A63)))</f>
        <v>3</v>
      </c>
      <c r="AN63" s="269" t="s">
        <v>171</v>
      </c>
      <c r="AO63" s="139">
        <f t="shared" si="8"/>
        <v>46087</v>
      </c>
      <c r="AP63" s="114" t="str">
        <f t="shared" si="9"/>
        <v xml:space="preserve">SA1.1 </v>
      </c>
      <c r="AQ63" s="115" t="s">
        <v>76</v>
      </c>
      <c r="AR63" s="116" t="s">
        <v>77</v>
      </c>
      <c r="AS63" s="164" t="s">
        <v>78</v>
      </c>
      <c r="AT63" s="159" t="s">
        <v>172</v>
      </c>
      <c r="AU63" s="167"/>
      <c r="AV63" s="118"/>
      <c r="AW63" s="116"/>
      <c r="AX63" s="83"/>
      <c r="AY63" s="116"/>
      <c r="AZ63" s="116"/>
      <c r="BA63" s="116"/>
      <c r="BB63" s="117"/>
    </row>
    <row r="64" spans="1:54" s="3" customFormat="1" ht="14.1" customHeight="1">
      <c r="A64" s="70">
        <v>46088</v>
      </c>
      <c r="B64" s="457"/>
      <c r="C64" s="457"/>
      <c r="D64" s="440"/>
      <c r="E64" s="440"/>
      <c r="F64" s="440"/>
      <c r="G64" s="440"/>
      <c r="H64" s="440"/>
      <c r="I64" s="440"/>
      <c r="J64" s="440"/>
      <c r="K64" s="440"/>
      <c r="L64" s="440"/>
      <c r="M64" s="440"/>
      <c r="N64" s="440"/>
      <c r="O64" s="440"/>
      <c r="P64" s="440"/>
      <c r="Q64" s="440"/>
      <c r="R64" s="440"/>
      <c r="S64" s="440"/>
      <c r="T64" s="440"/>
      <c r="U64" s="440"/>
      <c r="V64" s="440"/>
      <c r="W64" s="440"/>
      <c r="X64" s="440"/>
      <c r="Y64" s="440"/>
      <c r="Z64" s="440"/>
      <c r="AA64" s="440"/>
      <c r="AB64" s="440"/>
      <c r="AC64" s="440"/>
      <c r="AD64" s="440"/>
      <c r="AE64" s="440"/>
      <c r="AF64" s="440"/>
      <c r="AG64" s="440"/>
      <c r="AH64" s="440"/>
      <c r="AI64" s="440"/>
      <c r="AJ64" s="441"/>
      <c r="AK64" s="102"/>
      <c r="AL64" s="265"/>
      <c r="AM64" s="259"/>
      <c r="AN64" s="273"/>
      <c r="AO64" s="138">
        <f t="shared" si="8"/>
        <v>46088</v>
      </c>
      <c r="AP64" s="78" t="str">
        <f t="shared" si="9"/>
        <v/>
      </c>
      <c r="AQ64" s="79"/>
      <c r="AR64" s="190"/>
      <c r="AS64" s="162"/>
      <c r="AT64" s="156"/>
      <c r="AU64" s="166"/>
      <c r="AV64" s="81"/>
      <c r="AW64" s="80"/>
      <c r="AX64" s="81"/>
      <c r="AY64" s="80"/>
      <c r="AZ64" s="80"/>
      <c r="BA64" s="80"/>
      <c r="BB64" s="91"/>
    </row>
    <row r="65" spans="1:54" s="3" customFormat="1" ht="14.1" customHeight="1">
      <c r="A65" s="70">
        <v>46089</v>
      </c>
      <c r="B65" s="460"/>
      <c r="C65" s="461"/>
      <c r="D65" s="440"/>
      <c r="E65" s="440"/>
      <c r="F65" s="440"/>
      <c r="G65" s="440"/>
      <c r="H65" s="440"/>
      <c r="I65" s="440"/>
      <c r="J65" s="440"/>
      <c r="K65" s="440"/>
      <c r="L65" s="440"/>
      <c r="M65" s="440"/>
      <c r="N65" s="440"/>
      <c r="O65" s="440"/>
      <c r="P65" s="440"/>
      <c r="Q65" s="440"/>
      <c r="R65" s="440"/>
      <c r="S65" s="440"/>
      <c r="T65" s="440"/>
      <c r="U65" s="440"/>
      <c r="V65" s="440"/>
      <c r="W65" s="440"/>
      <c r="X65" s="440"/>
      <c r="Y65" s="440"/>
      <c r="Z65" s="440"/>
      <c r="AA65" s="440"/>
      <c r="AB65" s="440"/>
      <c r="AC65" s="440"/>
      <c r="AD65" s="440"/>
      <c r="AE65" s="440"/>
      <c r="AF65" s="440"/>
      <c r="AG65" s="440"/>
      <c r="AH65" s="440"/>
      <c r="AI65" s="440"/>
      <c r="AJ65" s="441"/>
      <c r="AK65" s="102"/>
      <c r="AL65" s="265"/>
      <c r="AM65" s="259"/>
      <c r="AN65" s="274"/>
      <c r="AO65" s="138">
        <f t="shared" si="8"/>
        <v>46089</v>
      </c>
      <c r="AP65" s="78" t="str">
        <f t="shared" si="9"/>
        <v/>
      </c>
      <c r="AQ65" s="79"/>
      <c r="AR65" s="80"/>
      <c r="AS65" s="162"/>
      <c r="AT65" s="156"/>
      <c r="AU65" s="166"/>
      <c r="AV65" s="72"/>
      <c r="AW65" s="80"/>
      <c r="AX65" s="82"/>
      <c r="AY65" s="80"/>
      <c r="AZ65" s="80"/>
      <c r="BA65" s="80"/>
      <c r="BB65" s="91"/>
    </row>
    <row r="66" spans="1:54" s="3" customFormat="1" ht="27" customHeight="1">
      <c r="A66" s="111">
        <v>46090</v>
      </c>
      <c r="B66" s="458" t="s">
        <v>68</v>
      </c>
      <c r="C66" s="459"/>
      <c r="D66" s="455" t="s">
        <v>69</v>
      </c>
      <c r="E66" s="455"/>
      <c r="F66" s="455"/>
      <c r="G66" s="455"/>
      <c r="H66" s="455"/>
      <c r="I66" s="455"/>
      <c r="J66" s="455"/>
      <c r="K66" s="455"/>
      <c r="L66" s="455"/>
      <c r="M66" s="455"/>
      <c r="N66" s="455"/>
      <c r="O66" s="455"/>
      <c r="P66" s="455"/>
      <c r="Q66" s="455"/>
      <c r="R66" s="455"/>
      <c r="S66" s="455"/>
      <c r="T66" s="455"/>
      <c r="U66" s="455"/>
      <c r="V66" s="455"/>
      <c r="W66" s="455"/>
      <c r="X66" s="455"/>
      <c r="Y66" s="455"/>
      <c r="Z66" s="455"/>
      <c r="AA66" s="455"/>
      <c r="AB66" s="455"/>
      <c r="AC66" s="455"/>
      <c r="AD66" s="455"/>
      <c r="AE66" s="455"/>
      <c r="AF66" s="455"/>
      <c r="AG66" s="455"/>
      <c r="AH66" s="455"/>
      <c r="AI66" s="455"/>
      <c r="AJ66" s="456"/>
      <c r="AK66" s="112">
        <v>71.505681818181813</v>
      </c>
      <c r="AL66" s="263" t="s">
        <v>5</v>
      </c>
      <c r="AM66" s="258" t="str">
        <f>IF(AL66="CO", "CO", IF(COUNTIF(AO:AO, A66)=0, 0, (8-SUMIF(AO:AO, A66, AL:AL)) / COUNTIF(AO:AO, A66)))</f>
        <v>CO</v>
      </c>
      <c r="AN66" s="275"/>
      <c r="AO66" s="139">
        <f>A66</f>
        <v>46090</v>
      </c>
      <c r="AP66" s="114" t="str">
        <f>LEFT(D66,6)</f>
        <v xml:space="preserve">SA1.1 </v>
      </c>
      <c r="AQ66" s="115"/>
      <c r="AR66" s="116"/>
      <c r="AS66" s="163"/>
      <c r="AT66" s="157"/>
      <c r="AU66" s="167"/>
      <c r="AV66" s="118"/>
      <c r="AW66" s="116"/>
      <c r="AX66" s="120"/>
      <c r="AY66" s="116"/>
      <c r="AZ66" s="116"/>
      <c r="BA66" s="116"/>
      <c r="BB66" s="117"/>
    </row>
    <row r="67" spans="1:54" s="3" customFormat="1" ht="57.95">
      <c r="A67" s="111">
        <v>46091</v>
      </c>
      <c r="B67" s="454" t="s">
        <v>68</v>
      </c>
      <c r="C67" s="454"/>
      <c r="D67" s="455" t="s">
        <v>69</v>
      </c>
      <c r="E67" s="455"/>
      <c r="F67" s="455"/>
      <c r="G67" s="455"/>
      <c r="H67" s="455"/>
      <c r="I67" s="455"/>
      <c r="J67" s="455"/>
      <c r="K67" s="455"/>
      <c r="L67" s="455"/>
      <c r="M67" s="455"/>
      <c r="N67" s="455"/>
      <c r="O67" s="455"/>
      <c r="P67" s="455"/>
      <c r="Q67" s="455"/>
      <c r="R67" s="455"/>
      <c r="S67" s="455"/>
      <c r="T67" s="455"/>
      <c r="U67" s="455"/>
      <c r="V67" s="455"/>
      <c r="W67" s="455"/>
      <c r="X67" s="455"/>
      <c r="Y67" s="455"/>
      <c r="Z67" s="455"/>
      <c r="AA67" s="455"/>
      <c r="AB67" s="455"/>
      <c r="AC67" s="455"/>
      <c r="AD67" s="455"/>
      <c r="AE67" s="455"/>
      <c r="AF67" s="455"/>
      <c r="AG67" s="455"/>
      <c r="AH67" s="455"/>
      <c r="AI67" s="455"/>
      <c r="AJ67" s="456"/>
      <c r="AK67" s="112">
        <v>71.505681818181813</v>
      </c>
      <c r="AL67" s="263">
        <v>6</v>
      </c>
      <c r="AM67" s="258">
        <f>IF(AL67="CO", "CO", IF(COUNTIF(AO:AO, A67)=0, 0, (8-SUMIF(AO:AO, A67, AL:AL)) / COUNTIF(AO:AO, A67)))</f>
        <v>2</v>
      </c>
      <c r="AN67" s="282" t="s">
        <v>173</v>
      </c>
      <c r="AO67" s="139">
        <f t="shared" si="8"/>
        <v>46091</v>
      </c>
      <c r="AP67" s="114" t="str">
        <f t="shared" si="9"/>
        <v xml:space="preserve">SA1.1 </v>
      </c>
      <c r="AQ67" s="115" t="s">
        <v>71</v>
      </c>
      <c r="AR67" s="116" t="s">
        <v>101</v>
      </c>
      <c r="AS67" s="163" t="s">
        <v>73</v>
      </c>
      <c r="AT67" s="159" t="s">
        <v>174</v>
      </c>
      <c r="AU67" s="167"/>
      <c r="AV67" s="118"/>
      <c r="AW67" s="116"/>
      <c r="AX67" s="120"/>
      <c r="AY67" s="116"/>
      <c r="AZ67" s="116"/>
      <c r="BA67" s="116"/>
      <c r="BB67" s="119"/>
    </row>
    <row r="68" spans="1:54" s="3" customFormat="1" ht="14.45">
      <c r="A68" s="111">
        <v>46092</v>
      </c>
      <c r="B68" s="454"/>
      <c r="C68" s="454"/>
      <c r="D68" s="455"/>
      <c r="E68" s="455"/>
      <c r="F68" s="455"/>
      <c r="G68" s="455"/>
      <c r="H68" s="455"/>
      <c r="I68" s="455"/>
      <c r="J68" s="455"/>
      <c r="K68" s="455"/>
      <c r="L68" s="455"/>
      <c r="M68" s="455"/>
      <c r="N68" s="455"/>
      <c r="O68" s="455"/>
      <c r="P68" s="455"/>
      <c r="Q68" s="455"/>
      <c r="R68" s="455"/>
      <c r="S68" s="455"/>
      <c r="T68" s="455"/>
      <c r="U68" s="455"/>
      <c r="V68" s="455"/>
      <c r="W68" s="455"/>
      <c r="X68" s="455"/>
      <c r="Y68" s="455"/>
      <c r="Z68" s="455"/>
      <c r="AA68" s="455"/>
      <c r="AB68" s="455"/>
      <c r="AC68" s="455"/>
      <c r="AD68" s="455"/>
      <c r="AE68" s="455"/>
      <c r="AF68" s="455"/>
      <c r="AG68" s="455"/>
      <c r="AH68" s="455"/>
      <c r="AI68" s="455"/>
      <c r="AJ68" s="456"/>
      <c r="AK68" s="112"/>
      <c r="AL68" s="263"/>
      <c r="AM68" s="258">
        <f>IF(AL68="CO", "CO", IF(COUNTIF(AO:AO, A68)=0, 0, (8-SUMIF(AO:AO, A68, AL:AL)) / COUNTIF(AO:AO, A68)))</f>
        <v>8</v>
      </c>
      <c r="AN68" s="276"/>
      <c r="AO68" s="139">
        <f t="shared" si="8"/>
        <v>46092</v>
      </c>
      <c r="AP68" s="114" t="str">
        <f t="shared" si="9"/>
        <v/>
      </c>
      <c r="AQ68" s="115"/>
      <c r="AR68" s="116"/>
      <c r="AS68" s="163"/>
      <c r="AT68" s="159"/>
      <c r="AU68" s="167"/>
      <c r="AV68" s="83"/>
      <c r="AW68" s="116"/>
      <c r="AX68" s="120"/>
      <c r="AY68" s="116"/>
      <c r="AZ68" s="116"/>
      <c r="BA68" s="116"/>
      <c r="BB68" s="117"/>
    </row>
    <row r="69" spans="1:54" s="3" customFormat="1" ht="130.5">
      <c r="A69" s="111">
        <v>46093</v>
      </c>
      <c r="B69" s="454" t="s">
        <v>68</v>
      </c>
      <c r="C69" s="454"/>
      <c r="D69" s="455" t="s">
        <v>69</v>
      </c>
      <c r="E69" s="455"/>
      <c r="F69" s="455"/>
      <c r="G69" s="455"/>
      <c r="H69" s="455"/>
      <c r="I69" s="455"/>
      <c r="J69" s="455"/>
      <c r="K69" s="455"/>
      <c r="L69" s="455"/>
      <c r="M69" s="455"/>
      <c r="N69" s="455"/>
      <c r="O69" s="455"/>
      <c r="P69" s="455"/>
      <c r="Q69" s="455"/>
      <c r="R69" s="455"/>
      <c r="S69" s="455"/>
      <c r="T69" s="455"/>
      <c r="U69" s="455"/>
      <c r="V69" s="455"/>
      <c r="W69" s="455"/>
      <c r="X69" s="455"/>
      <c r="Y69" s="455"/>
      <c r="Z69" s="455"/>
      <c r="AA69" s="455"/>
      <c r="AB69" s="455"/>
      <c r="AC69" s="455"/>
      <c r="AD69" s="455"/>
      <c r="AE69" s="455"/>
      <c r="AF69" s="455"/>
      <c r="AG69" s="455"/>
      <c r="AH69" s="455"/>
      <c r="AI69" s="455"/>
      <c r="AJ69" s="456"/>
      <c r="AK69" s="112">
        <v>71.505681818181813</v>
      </c>
      <c r="AL69" s="263">
        <v>2</v>
      </c>
      <c r="AM69" s="258">
        <f>IF(AL69="CO", "CO", IF(COUNTIF(AO:AO, A69)=0, 0, (8-SUMIF(AO:AO, A69, AL:AL)) / COUNTIF(AO:AO, A69)))</f>
        <v>6</v>
      </c>
      <c r="AN69" s="277" t="s">
        <v>175</v>
      </c>
      <c r="AO69" s="139">
        <f t="shared" si="8"/>
        <v>46093</v>
      </c>
      <c r="AP69" s="114" t="str">
        <f t="shared" si="9"/>
        <v xml:space="preserve">SA1.1 </v>
      </c>
      <c r="AQ69" s="115" t="s">
        <v>76</v>
      </c>
      <c r="AR69" s="116" t="s">
        <v>77</v>
      </c>
      <c r="AS69" s="164" t="s">
        <v>78</v>
      </c>
      <c r="AT69" s="159" t="s">
        <v>176</v>
      </c>
      <c r="AU69" s="167"/>
      <c r="AV69" s="83"/>
      <c r="AW69" s="116"/>
      <c r="AX69" s="120"/>
      <c r="AY69" s="116"/>
      <c r="AZ69" s="116"/>
      <c r="BA69" s="116"/>
      <c r="BB69" s="117"/>
    </row>
    <row r="70" spans="1:54" s="3" customFormat="1" ht="72.599999999999994">
      <c r="A70" s="111">
        <v>46094</v>
      </c>
      <c r="B70" s="454" t="s">
        <v>68</v>
      </c>
      <c r="C70" s="454"/>
      <c r="D70" s="455" t="s">
        <v>69</v>
      </c>
      <c r="E70" s="455"/>
      <c r="F70" s="455"/>
      <c r="G70" s="455"/>
      <c r="H70" s="455"/>
      <c r="I70" s="455"/>
      <c r="J70" s="455"/>
      <c r="K70" s="455"/>
      <c r="L70" s="455"/>
      <c r="M70" s="455"/>
      <c r="N70" s="455"/>
      <c r="O70" s="455"/>
      <c r="P70" s="455"/>
      <c r="Q70" s="455"/>
      <c r="R70" s="455"/>
      <c r="S70" s="455"/>
      <c r="T70" s="455"/>
      <c r="U70" s="455"/>
      <c r="V70" s="455"/>
      <c r="W70" s="455"/>
      <c r="X70" s="455"/>
      <c r="Y70" s="455"/>
      <c r="Z70" s="455"/>
      <c r="AA70" s="455"/>
      <c r="AB70" s="455"/>
      <c r="AC70" s="455"/>
      <c r="AD70" s="455"/>
      <c r="AE70" s="455"/>
      <c r="AF70" s="455"/>
      <c r="AG70" s="455"/>
      <c r="AH70" s="455"/>
      <c r="AI70" s="455"/>
      <c r="AJ70" s="456"/>
      <c r="AK70" s="112">
        <v>71.505681818181813</v>
      </c>
      <c r="AL70" s="263">
        <v>4</v>
      </c>
      <c r="AM70" s="258">
        <f>IF(AL70="CO", "CO", IF(COUNTIF(AO:AO, A70)=0, 0, (8-SUMIF(AO:AO, A70, AL:AL)) / COUNTIF(AO:AO, A70)))</f>
        <v>4</v>
      </c>
      <c r="AN70" s="269" t="s">
        <v>177</v>
      </c>
      <c r="AO70" s="139">
        <f t="shared" si="8"/>
        <v>46094</v>
      </c>
      <c r="AP70" s="114" t="str">
        <f t="shared" si="9"/>
        <v xml:space="preserve">SA1.1 </v>
      </c>
      <c r="AQ70" s="115" t="s">
        <v>76</v>
      </c>
      <c r="AR70" s="116" t="s">
        <v>77</v>
      </c>
      <c r="AS70" s="164" t="s">
        <v>78</v>
      </c>
      <c r="AT70" s="159" t="s">
        <v>178</v>
      </c>
      <c r="AU70" s="167"/>
      <c r="AV70" s="83"/>
      <c r="AW70" s="116"/>
      <c r="AX70" s="120"/>
      <c r="AY70" s="116"/>
      <c r="AZ70" s="116"/>
      <c r="BA70" s="116"/>
      <c r="BB70" s="117"/>
    </row>
    <row r="71" spans="1:54" s="3" customFormat="1" ht="14.1" customHeight="1">
      <c r="A71" s="70">
        <v>46095</v>
      </c>
      <c r="B71" s="457"/>
      <c r="C71" s="457"/>
      <c r="D71" s="440"/>
      <c r="E71" s="440"/>
      <c r="F71" s="440"/>
      <c r="G71" s="440"/>
      <c r="H71" s="440"/>
      <c r="I71" s="440"/>
      <c r="J71" s="440"/>
      <c r="K71" s="440"/>
      <c r="L71" s="440"/>
      <c r="M71" s="440"/>
      <c r="N71" s="440"/>
      <c r="O71" s="440"/>
      <c r="P71" s="440"/>
      <c r="Q71" s="440"/>
      <c r="R71" s="440"/>
      <c r="S71" s="440"/>
      <c r="T71" s="440"/>
      <c r="U71" s="440"/>
      <c r="V71" s="440"/>
      <c r="W71" s="440"/>
      <c r="X71" s="440"/>
      <c r="Y71" s="440"/>
      <c r="Z71" s="440"/>
      <c r="AA71" s="440"/>
      <c r="AB71" s="440"/>
      <c r="AC71" s="440"/>
      <c r="AD71" s="440"/>
      <c r="AE71" s="440"/>
      <c r="AF71" s="440"/>
      <c r="AG71" s="440"/>
      <c r="AH71" s="440"/>
      <c r="AI71" s="440"/>
      <c r="AJ71" s="441"/>
      <c r="AK71" s="102"/>
      <c r="AL71" s="265"/>
      <c r="AM71" s="259"/>
      <c r="AN71" s="273"/>
      <c r="AO71" s="138">
        <f t="shared" si="8"/>
        <v>46095</v>
      </c>
      <c r="AP71" s="78" t="str">
        <f t="shared" si="9"/>
        <v/>
      </c>
      <c r="AQ71" s="79"/>
      <c r="AR71" s="80"/>
      <c r="AS71" s="162"/>
      <c r="AT71" s="156"/>
      <c r="AU71" s="166"/>
      <c r="AV71" s="72"/>
      <c r="AW71" s="80"/>
      <c r="AX71" s="82"/>
      <c r="AY71" s="80"/>
      <c r="AZ71" s="80"/>
      <c r="BA71" s="80"/>
      <c r="BB71" s="91"/>
    </row>
    <row r="72" spans="1:54" s="3" customFormat="1" ht="14.1" customHeight="1">
      <c r="A72" s="70">
        <v>46096</v>
      </c>
      <c r="B72" s="457"/>
      <c r="C72" s="457"/>
      <c r="D72" s="440"/>
      <c r="E72" s="440"/>
      <c r="F72" s="440"/>
      <c r="G72" s="440"/>
      <c r="H72" s="440"/>
      <c r="I72" s="440"/>
      <c r="J72" s="440"/>
      <c r="K72" s="440"/>
      <c r="L72" s="440"/>
      <c r="M72" s="440"/>
      <c r="N72" s="440"/>
      <c r="O72" s="440"/>
      <c r="P72" s="440"/>
      <c r="Q72" s="440"/>
      <c r="R72" s="440"/>
      <c r="S72" s="440"/>
      <c r="T72" s="440"/>
      <c r="U72" s="440"/>
      <c r="V72" s="440"/>
      <c r="W72" s="440"/>
      <c r="X72" s="440"/>
      <c r="Y72" s="440"/>
      <c r="Z72" s="440"/>
      <c r="AA72" s="440"/>
      <c r="AB72" s="440"/>
      <c r="AC72" s="440"/>
      <c r="AD72" s="440"/>
      <c r="AE72" s="440"/>
      <c r="AF72" s="440"/>
      <c r="AG72" s="440"/>
      <c r="AH72" s="440"/>
      <c r="AI72" s="440"/>
      <c r="AJ72" s="441"/>
      <c r="AK72" s="102"/>
      <c r="AL72" s="265"/>
      <c r="AM72" s="259"/>
      <c r="AN72" s="278"/>
      <c r="AO72" s="138">
        <f t="shared" si="8"/>
        <v>46096</v>
      </c>
      <c r="AP72" s="78" t="str">
        <f t="shared" si="9"/>
        <v/>
      </c>
      <c r="AQ72" s="79"/>
      <c r="AR72" s="80"/>
      <c r="AS72" s="162"/>
      <c r="AT72" s="156"/>
      <c r="AU72" s="166"/>
      <c r="AV72" s="72"/>
      <c r="AW72" s="80"/>
      <c r="AX72" s="82"/>
      <c r="AY72" s="80"/>
      <c r="AZ72" s="80"/>
      <c r="BA72" s="80"/>
      <c r="BB72" s="92"/>
    </row>
    <row r="73" spans="1:54" s="3" customFormat="1" ht="101.45">
      <c r="A73" s="111">
        <v>46097</v>
      </c>
      <c r="B73" s="454" t="s">
        <v>68</v>
      </c>
      <c r="C73" s="454"/>
      <c r="D73" s="455" t="s">
        <v>69</v>
      </c>
      <c r="E73" s="455"/>
      <c r="F73" s="455"/>
      <c r="G73" s="455"/>
      <c r="H73" s="455"/>
      <c r="I73" s="455"/>
      <c r="J73" s="455"/>
      <c r="K73" s="455"/>
      <c r="L73" s="455"/>
      <c r="M73" s="455"/>
      <c r="N73" s="455"/>
      <c r="O73" s="455"/>
      <c r="P73" s="455"/>
      <c r="Q73" s="455"/>
      <c r="R73" s="455"/>
      <c r="S73" s="455"/>
      <c r="T73" s="455"/>
      <c r="U73" s="455"/>
      <c r="V73" s="455"/>
      <c r="W73" s="455"/>
      <c r="X73" s="455"/>
      <c r="Y73" s="455"/>
      <c r="Z73" s="455"/>
      <c r="AA73" s="455"/>
      <c r="AB73" s="455"/>
      <c r="AC73" s="455"/>
      <c r="AD73" s="455"/>
      <c r="AE73" s="455"/>
      <c r="AF73" s="455"/>
      <c r="AG73" s="455"/>
      <c r="AH73" s="455"/>
      <c r="AI73" s="455"/>
      <c r="AJ73" s="456"/>
      <c r="AK73" s="112">
        <v>71.505681818181813</v>
      </c>
      <c r="AL73" s="263">
        <v>3</v>
      </c>
      <c r="AM73" s="258">
        <f>IF(AL73="CO", "CO", IF(COUNTIF(AO:AO, A73)=0, 0, (8-SUMIF(AO:AO, A73, AL:AL)) / COUNTIF(AO:AO, A73)))</f>
        <v>5</v>
      </c>
      <c r="AN73" s="279" t="s">
        <v>179</v>
      </c>
      <c r="AO73" s="139">
        <f t="shared" si="8"/>
        <v>46097</v>
      </c>
      <c r="AP73" s="114" t="str">
        <f t="shared" si="9"/>
        <v xml:space="preserve">SA1.1 </v>
      </c>
      <c r="AQ73" s="115" t="s">
        <v>76</v>
      </c>
      <c r="AR73" s="116" t="s">
        <v>77</v>
      </c>
      <c r="AS73" s="163" t="s">
        <v>78</v>
      </c>
      <c r="AT73" s="159" t="s">
        <v>180</v>
      </c>
      <c r="AU73" s="167"/>
      <c r="AV73" s="118"/>
      <c r="AW73" s="116"/>
      <c r="AX73" s="120"/>
      <c r="AY73" s="116"/>
      <c r="AZ73" s="116"/>
      <c r="BA73" s="116"/>
      <c r="BB73" s="119"/>
    </row>
    <row r="74" spans="1:54" s="3" customFormat="1" ht="27" customHeight="1">
      <c r="A74" s="111">
        <v>46098</v>
      </c>
      <c r="B74" s="454" t="s">
        <v>68</v>
      </c>
      <c r="C74" s="454"/>
      <c r="D74" s="455" t="s">
        <v>69</v>
      </c>
      <c r="E74" s="455"/>
      <c r="F74" s="455"/>
      <c r="G74" s="455"/>
      <c r="H74" s="455"/>
      <c r="I74" s="455"/>
      <c r="J74" s="455"/>
      <c r="K74" s="455"/>
      <c r="L74" s="455"/>
      <c r="M74" s="455"/>
      <c r="N74" s="455"/>
      <c r="O74" s="455"/>
      <c r="P74" s="455"/>
      <c r="Q74" s="455"/>
      <c r="R74" s="455"/>
      <c r="S74" s="455"/>
      <c r="T74" s="455"/>
      <c r="U74" s="455"/>
      <c r="V74" s="455"/>
      <c r="W74" s="455"/>
      <c r="X74" s="455"/>
      <c r="Y74" s="455"/>
      <c r="Z74" s="455"/>
      <c r="AA74" s="455"/>
      <c r="AB74" s="455"/>
      <c r="AC74" s="455"/>
      <c r="AD74" s="455"/>
      <c r="AE74" s="455"/>
      <c r="AF74" s="455"/>
      <c r="AG74" s="455"/>
      <c r="AH74" s="455"/>
      <c r="AI74" s="455"/>
      <c r="AJ74" s="456"/>
      <c r="AK74" s="112">
        <v>71.505681818181813</v>
      </c>
      <c r="AL74" s="263">
        <v>2</v>
      </c>
      <c r="AM74" s="258">
        <f>IF(AL74="CO", "CO", IF(COUNTIF(AO:AO, A74)=0, 0, (8-SUMIF(AO:AO, A74, AL:AL)) / COUNTIF(AO:AO, A74)))</f>
        <v>6</v>
      </c>
      <c r="AN74" s="355" t="s">
        <v>181</v>
      </c>
      <c r="AO74" s="139">
        <f t="shared" si="8"/>
        <v>46098</v>
      </c>
      <c r="AP74" s="114" t="str">
        <f>LEFT(D74,6)</f>
        <v xml:space="preserve">SA1.1 </v>
      </c>
      <c r="AQ74" s="115" t="s">
        <v>71</v>
      </c>
      <c r="AR74" s="116" t="s">
        <v>169</v>
      </c>
      <c r="AS74" s="116" t="s">
        <v>73</v>
      </c>
      <c r="AT74" s="356" t="s">
        <v>182</v>
      </c>
      <c r="AU74" s="116"/>
      <c r="AV74" s="83"/>
      <c r="AW74" s="116"/>
      <c r="AX74" s="116"/>
      <c r="AY74" s="116"/>
      <c r="AZ74" s="116"/>
      <c r="BA74" s="116"/>
      <c r="BB74" s="121"/>
    </row>
    <row r="75" spans="1:54" s="3" customFormat="1" ht="27" customHeight="1">
      <c r="A75" s="111">
        <v>46099</v>
      </c>
      <c r="B75" s="458" t="s">
        <v>68</v>
      </c>
      <c r="C75" s="459"/>
      <c r="D75" s="455" t="s">
        <v>69</v>
      </c>
      <c r="E75" s="455"/>
      <c r="F75" s="455"/>
      <c r="G75" s="455"/>
      <c r="H75" s="455"/>
      <c r="I75" s="455"/>
      <c r="J75" s="455"/>
      <c r="K75" s="455"/>
      <c r="L75" s="455"/>
      <c r="M75" s="455"/>
      <c r="N75" s="455"/>
      <c r="O75" s="455"/>
      <c r="P75" s="455"/>
      <c r="Q75" s="455"/>
      <c r="R75" s="455"/>
      <c r="S75" s="455"/>
      <c r="T75" s="455"/>
      <c r="U75" s="455"/>
      <c r="V75" s="455"/>
      <c r="W75" s="455"/>
      <c r="X75" s="455"/>
      <c r="Y75" s="455"/>
      <c r="Z75" s="455"/>
      <c r="AA75" s="455"/>
      <c r="AB75" s="455"/>
      <c r="AC75" s="455"/>
      <c r="AD75" s="455"/>
      <c r="AE75" s="455"/>
      <c r="AF75" s="455"/>
      <c r="AG75" s="455"/>
      <c r="AH75" s="455"/>
      <c r="AI75" s="455"/>
      <c r="AJ75" s="456"/>
      <c r="AK75" s="112">
        <v>71.505681818181813</v>
      </c>
      <c r="AL75" s="263" t="s">
        <v>5</v>
      </c>
      <c r="AM75" s="258" t="str">
        <f>IF(AL75="CO", "CO", IF(COUNTIF(AO:AO, A75)=0, 0, (8-SUMIF(AO:AO, A75, AL:AL)) / COUNTIF(AO:AO, A75)))</f>
        <v>CO</v>
      </c>
      <c r="AN75" s="280"/>
      <c r="AO75" s="139">
        <f t="shared" si="8"/>
        <v>46099</v>
      </c>
      <c r="AP75" s="114" t="str">
        <f t="shared" si="9"/>
        <v xml:space="preserve">SA1.1 </v>
      </c>
      <c r="AQ75" s="115"/>
      <c r="AR75" s="116"/>
      <c r="AS75" s="116"/>
      <c r="AT75" s="83"/>
      <c r="AU75" s="116"/>
      <c r="AV75" s="116"/>
      <c r="AW75" s="116"/>
      <c r="AX75" s="120"/>
      <c r="AY75" s="116"/>
      <c r="AZ75" s="116"/>
      <c r="BA75" s="116"/>
      <c r="BB75" s="117"/>
    </row>
    <row r="76" spans="1:54" s="3" customFormat="1" ht="27" customHeight="1">
      <c r="A76" s="111">
        <v>46100</v>
      </c>
      <c r="B76" s="458"/>
      <c r="C76" s="459"/>
      <c r="D76" s="455"/>
      <c r="E76" s="455"/>
      <c r="F76" s="455"/>
      <c r="G76" s="455"/>
      <c r="H76" s="455"/>
      <c r="I76" s="455"/>
      <c r="J76" s="455"/>
      <c r="K76" s="455"/>
      <c r="L76" s="455"/>
      <c r="M76" s="455"/>
      <c r="N76" s="455"/>
      <c r="O76" s="455"/>
      <c r="P76" s="455"/>
      <c r="Q76" s="455"/>
      <c r="R76" s="455"/>
      <c r="S76" s="455"/>
      <c r="T76" s="455"/>
      <c r="U76" s="455"/>
      <c r="V76" s="455"/>
      <c r="W76" s="455"/>
      <c r="X76" s="455"/>
      <c r="Y76" s="455"/>
      <c r="Z76" s="455"/>
      <c r="AA76" s="455"/>
      <c r="AB76" s="455"/>
      <c r="AC76" s="455"/>
      <c r="AD76" s="455"/>
      <c r="AE76" s="455"/>
      <c r="AF76" s="455"/>
      <c r="AG76" s="455"/>
      <c r="AH76" s="455"/>
      <c r="AI76" s="455"/>
      <c r="AJ76" s="456"/>
      <c r="AK76" s="112"/>
      <c r="AL76" s="263"/>
      <c r="AM76" s="258">
        <f>IF(AL76="CO", "CO", IF(COUNTIF(AO:AO, A76)=0, 0, (8-SUMIF(AO:AO, A76, AL:AL)) / COUNTIF(AO:AO, A76)))</f>
        <v>8</v>
      </c>
      <c r="AN76" s="269"/>
      <c r="AO76" s="139">
        <f t="shared" si="8"/>
        <v>46100</v>
      </c>
      <c r="AP76" s="114" t="str">
        <f t="shared" si="9"/>
        <v/>
      </c>
      <c r="AQ76" s="115"/>
      <c r="AR76" s="116"/>
      <c r="AS76" s="116"/>
      <c r="AT76" s="118"/>
      <c r="AU76" s="116"/>
      <c r="AV76" s="83"/>
      <c r="AW76" s="116"/>
      <c r="AX76" s="116"/>
      <c r="AY76" s="116"/>
      <c r="AZ76" s="116"/>
      <c r="BA76" s="116"/>
      <c r="BB76" s="117"/>
    </row>
    <row r="77" spans="1:54" s="3" customFormat="1" ht="57.95">
      <c r="A77" s="111">
        <v>46101</v>
      </c>
      <c r="B77" s="454" t="s">
        <v>68</v>
      </c>
      <c r="C77" s="454"/>
      <c r="D77" s="455" t="s">
        <v>69</v>
      </c>
      <c r="E77" s="455"/>
      <c r="F77" s="455"/>
      <c r="G77" s="455"/>
      <c r="H77" s="455"/>
      <c r="I77" s="455"/>
      <c r="J77" s="455"/>
      <c r="K77" s="455"/>
      <c r="L77" s="455"/>
      <c r="M77" s="455"/>
      <c r="N77" s="455"/>
      <c r="O77" s="455"/>
      <c r="P77" s="455"/>
      <c r="Q77" s="455"/>
      <c r="R77" s="455"/>
      <c r="S77" s="455"/>
      <c r="T77" s="455"/>
      <c r="U77" s="455"/>
      <c r="V77" s="455"/>
      <c r="W77" s="455"/>
      <c r="X77" s="455"/>
      <c r="Y77" s="455"/>
      <c r="Z77" s="455"/>
      <c r="AA77" s="455"/>
      <c r="AB77" s="455"/>
      <c r="AC77" s="455"/>
      <c r="AD77" s="455"/>
      <c r="AE77" s="455"/>
      <c r="AF77" s="455"/>
      <c r="AG77" s="455"/>
      <c r="AH77" s="455"/>
      <c r="AI77" s="455"/>
      <c r="AJ77" s="456"/>
      <c r="AK77" s="112">
        <v>71.505681818181813</v>
      </c>
      <c r="AL77" s="263">
        <v>8</v>
      </c>
      <c r="AM77" s="258">
        <f>IF(AL77="CO", "CO", IF(COUNTIF(AO:AO, A77)=0, 0, (8-SUMIF(AO:AO, A77, AL:AL)) / COUNTIF(AO:AO, A77)))</f>
        <v>0</v>
      </c>
      <c r="AN77" s="272" t="s">
        <v>183</v>
      </c>
      <c r="AO77" s="139">
        <f t="shared" si="8"/>
        <v>46101</v>
      </c>
      <c r="AP77" s="114" t="str">
        <f>LEFT(D77,6)</f>
        <v xml:space="preserve">SA1.1 </v>
      </c>
      <c r="AQ77" s="115" t="s">
        <v>71</v>
      </c>
      <c r="AR77" s="116" t="s">
        <v>169</v>
      </c>
      <c r="AS77" s="116" t="s">
        <v>78</v>
      </c>
      <c r="AT77" s="192" t="s">
        <v>184</v>
      </c>
      <c r="AU77" s="116"/>
      <c r="AV77" s="83"/>
      <c r="AW77" s="116"/>
      <c r="AX77" s="116"/>
      <c r="AY77" s="116"/>
      <c r="AZ77" s="116"/>
      <c r="BA77" s="116"/>
      <c r="BB77" s="121"/>
    </row>
    <row r="78" spans="1:54" s="3" customFormat="1" ht="14.1" customHeight="1">
      <c r="A78" s="70">
        <v>46102</v>
      </c>
      <c r="B78" s="457"/>
      <c r="C78" s="457"/>
      <c r="D78" s="440"/>
      <c r="E78" s="440"/>
      <c r="F78" s="440"/>
      <c r="G78" s="440"/>
      <c r="H78" s="440"/>
      <c r="I78" s="440"/>
      <c r="J78" s="440"/>
      <c r="K78" s="440"/>
      <c r="L78" s="440"/>
      <c r="M78" s="440"/>
      <c r="N78" s="440"/>
      <c r="O78" s="440"/>
      <c r="P78" s="440"/>
      <c r="Q78" s="440"/>
      <c r="R78" s="440"/>
      <c r="S78" s="440"/>
      <c r="T78" s="440"/>
      <c r="U78" s="440"/>
      <c r="V78" s="440"/>
      <c r="W78" s="440"/>
      <c r="X78" s="440"/>
      <c r="Y78" s="440"/>
      <c r="Z78" s="440"/>
      <c r="AA78" s="440"/>
      <c r="AB78" s="440"/>
      <c r="AC78" s="440"/>
      <c r="AD78" s="440"/>
      <c r="AE78" s="440"/>
      <c r="AF78" s="440"/>
      <c r="AG78" s="440"/>
      <c r="AH78" s="440"/>
      <c r="AI78" s="440"/>
      <c r="AJ78" s="441"/>
      <c r="AK78" s="102"/>
      <c r="AL78" s="265"/>
      <c r="AM78" s="259"/>
      <c r="AN78" s="274"/>
      <c r="AO78" s="138">
        <f>A78</f>
        <v>46102</v>
      </c>
      <c r="AP78" s="78" t="str">
        <f>LEFT(D78,6)</f>
        <v/>
      </c>
      <c r="AQ78" s="79"/>
      <c r="AR78" s="80"/>
      <c r="AS78" s="80"/>
      <c r="AT78" s="72"/>
      <c r="AU78" s="80"/>
      <c r="AV78" s="81"/>
      <c r="AW78" s="80"/>
      <c r="AX78" s="80"/>
      <c r="AY78" s="80"/>
      <c r="AZ78" s="80"/>
      <c r="BA78" s="80"/>
      <c r="BB78" s="91"/>
    </row>
    <row r="79" spans="1:54" s="3" customFormat="1" ht="14.1" customHeight="1">
      <c r="A79" s="70">
        <v>46103</v>
      </c>
      <c r="B79" s="457"/>
      <c r="C79" s="457"/>
      <c r="D79" s="440"/>
      <c r="E79" s="440"/>
      <c r="F79" s="440"/>
      <c r="G79" s="440"/>
      <c r="H79" s="440"/>
      <c r="I79" s="440"/>
      <c r="J79" s="440"/>
      <c r="K79" s="440"/>
      <c r="L79" s="440"/>
      <c r="M79" s="440"/>
      <c r="N79" s="440"/>
      <c r="O79" s="440"/>
      <c r="P79" s="440"/>
      <c r="Q79" s="440"/>
      <c r="R79" s="440"/>
      <c r="S79" s="440"/>
      <c r="T79" s="440"/>
      <c r="U79" s="440"/>
      <c r="V79" s="440"/>
      <c r="W79" s="440"/>
      <c r="X79" s="440"/>
      <c r="Y79" s="440"/>
      <c r="Z79" s="440"/>
      <c r="AA79" s="440"/>
      <c r="AB79" s="440"/>
      <c r="AC79" s="440"/>
      <c r="AD79" s="440"/>
      <c r="AE79" s="440"/>
      <c r="AF79" s="440"/>
      <c r="AG79" s="440"/>
      <c r="AH79" s="440"/>
      <c r="AI79" s="440"/>
      <c r="AJ79" s="441"/>
      <c r="AK79" s="102"/>
      <c r="AL79" s="265"/>
      <c r="AM79" s="259"/>
      <c r="AN79" s="273"/>
      <c r="AO79" s="138">
        <f t="shared" si="8"/>
        <v>46103</v>
      </c>
      <c r="AP79" s="78" t="str">
        <f t="shared" si="9"/>
        <v/>
      </c>
      <c r="AQ79" s="79"/>
      <c r="AR79" s="80"/>
      <c r="AS79" s="80"/>
      <c r="AT79" s="81"/>
      <c r="AU79" s="80"/>
      <c r="AV79" s="81"/>
      <c r="AW79" s="80"/>
      <c r="AX79" s="80"/>
      <c r="AY79" s="80"/>
      <c r="AZ79" s="80"/>
      <c r="BA79" s="80"/>
      <c r="BB79" s="91"/>
    </row>
    <row r="80" spans="1:54" s="3" customFormat="1" ht="27" customHeight="1">
      <c r="A80" s="111">
        <v>46104</v>
      </c>
      <c r="B80" s="454" t="s">
        <v>68</v>
      </c>
      <c r="C80" s="454"/>
      <c r="D80" s="455" t="s">
        <v>69</v>
      </c>
      <c r="E80" s="455"/>
      <c r="F80" s="455"/>
      <c r="G80" s="455"/>
      <c r="H80" s="455"/>
      <c r="I80" s="455"/>
      <c r="J80" s="455"/>
      <c r="K80" s="455"/>
      <c r="L80" s="455"/>
      <c r="M80" s="455"/>
      <c r="N80" s="455"/>
      <c r="O80" s="455"/>
      <c r="P80" s="455"/>
      <c r="Q80" s="455"/>
      <c r="R80" s="455"/>
      <c r="S80" s="455"/>
      <c r="T80" s="455"/>
      <c r="U80" s="455"/>
      <c r="V80" s="455"/>
      <c r="W80" s="455"/>
      <c r="X80" s="455"/>
      <c r="Y80" s="455"/>
      <c r="Z80" s="455"/>
      <c r="AA80" s="455"/>
      <c r="AB80" s="455"/>
      <c r="AC80" s="455"/>
      <c r="AD80" s="455"/>
      <c r="AE80" s="455"/>
      <c r="AF80" s="455"/>
      <c r="AG80" s="455"/>
      <c r="AH80" s="455"/>
      <c r="AI80" s="455"/>
      <c r="AJ80" s="456"/>
      <c r="AK80" s="112">
        <v>71.505681818181813</v>
      </c>
      <c r="AL80" s="263">
        <v>4</v>
      </c>
      <c r="AM80" s="258">
        <f>IF(AL80="CO", "CO", IF(COUNTIF(AO:AO, A80)=0, 0, (8-SUMIF(AO:AO, A80, AL:AL)) / COUNTIF(AO:AO, A80)))</f>
        <v>4</v>
      </c>
      <c r="AN80" s="353" t="s">
        <v>185</v>
      </c>
      <c r="AO80" s="139">
        <f t="shared" si="8"/>
        <v>46104</v>
      </c>
      <c r="AP80" s="114" t="str">
        <f t="shared" si="9"/>
        <v xml:space="preserve">SA1.1 </v>
      </c>
      <c r="AQ80" s="115" t="s">
        <v>71</v>
      </c>
      <c r="AR80" s="116" t="s">
        <v>186</v>
      </c>
      <c r="AS80" s="116" t="s">
        <v>78</v>
      </c>
      <c r="AT80" s="240"/>
      <c r="AU80" s="116"/>
      <c r="AV80" s="351" t="s">
        <v>187</v>
      </c>
      <c r="AW80" s="116"/>
      <c r="AX80" s="116"/>
      <c r="AY80" s="116"/>
      <c r="AZ80" s="116"/>
      <c r="BA80" s="116"/>
      <c r="BB80" s="117"/>
    </row>
    <row r="81" spans="1:54" s="3" customFormat="1" ht="27" customHeight="1">
      <c r="A81" s="111">
        <v>46105</v>
      </c>
      <c r="B81" s="454" t="s">
        <v>68</v>
      </c>
      <c r="C81" s="454"/>
      <c r="D81" s="455" t="s">
        <v>69</v>
      </c>
      <c r="E81" s="455"/>
      <c r="F81" s="455"/>
      <c r="G81" s="455"/>
      <c r="H81" s="455"/>
      <c r="I81" s="455"/>
      <c r="J81" s="455"/>
      <c r="K81" s="455"/>
      <c r="L81" s="455"/>
      <c r="M81" s="455"/>
      <c r="N81" s="455"/>
      <c r="O81" s="455"/>
      <c r="P81" s="455"/>
      <c r="Q81" s="455"/>
      <c r="R81" s="455"/>
      <c r="S81" s="455"/>
      <c r="T81" s="455"/>
      <c r="U81" s="455"/>
      <c r="V81" s="455"/>
      <c r="W81" s="455"/>
      <c r="X81" s="455"/>
      <c r="Y81" s="455"/>
      <c r="Z81" s="455"/>
      <c r="AA81" s="455"/>
      <c r="AB81" s="455"/>
      <c r="AC81" s="455"/>
      <c r="AD81" s="455"/>
      <c r="AE81" s="455"/>
      <c r="AF81" s="455"/>
      <c r="AG81" s="455"/>
      <c r="AH81" s="455"/>
      <c r="AI81" s="455"/>
      <c r="AJ81" s="456"/>
      <c r="AK81" s="112">
        <v>71.505681818181813</v>
      </c>
      <c r="AL81" s="263">
        <v>4</v>
      </c>
      <c r="AM81" s="258">
        <f>IF(AL81="CO", "CO", IF(COUNTIF(AO:AO, A81)=0, 0, (8-SUMIF(AO:AO, A81, AL:AL)) / COUNTIF(AO:AO, A81)))</f>
        <v>4</v>
      </c>
      <c r="AN81" s="354" t="s">
        <v>188</v>
      </c>
      <c r="AO81" s="139">
        <f t="shared" si="8"/>
        <v>46105</v>
      </c>
      <c r="AP81" s="114" t="str">
        <f t="shared" si="9"/>
        <v xml:space="preserve">SA1.1 </v>
      </c>
      <c r="AQ81" s="115" t="s">
        <v>76</v>
      </c>
      <c r="AR81" s="116" t="s">
        <v>77</v>
      </c>
      <c r="AS81" s="116" t="s">
        <v>78</v>
      </c>
      <c r="AT81" s="118"/>
      <c r="AU81" s="116"/>
      <c r="AV81" s="352" t="s">
        <v>189</v>
      </c>
      <c r="AW81" s="116"/>
      <c r="AX81" s="116"/>
      <c r="AY81" s="116"/>
      <c r="AZ81" s="116"/>
      <c r="BA81" s="116"/>
      <c r="BB81" s="117"/>
    </row>
    <row r="82" spans="1:54" s="3" customFormat="1" ht="27" customHeight="1">
      <c r="A82" s="111">
        <v>46106</v>
      </c>
      <c r="B82" s="454"/>
      <c r="C82" s="454"/>
      <c r="D82" s="455"/>
      <c r="E82" s="455"/>
      <c r="F82" s="455"/>
      <c r="G82" s="455"/>
      <c r="H82" s="455"/>
      <c r="I82" s="455"/>
      <c r="J82" s="455"/>
      <c r="K82" s="455"/>
      <c r="L82" s="455"/>
      <c r="M82" s="455"/>
      <c r="N82" s="455"/>
      <c r="O82" s="455"/>
      <c r="P82" s="455"/>
      <c r="Q82" s="455"/>
      <c r="R82" s="455"/>
      <c r="S82" s="455"/>
      <c r="T82" s="455"/>
      <c r="U82" s="455"/>
      <c r="V82" s="455"/>
      <c r="W82" s="455"/>
      <c r="X82" s="455"/>
      <c r="Y82" s="455"/>
      <c r="Z82" s="455"/>
      <c r="AA82" s="455"/>
      <c r="AB82" s="455"/>
      <c r="AC82" s="455"/>
      <c r="AD82" s="455"/>
      <c r="AE82" s="455"/>
      <c r="AF82" s="455"/>
      <c r="AG82" s="455"/>
      <c r="AH82" s="455"/>
      <c r="AI82" s="455"/>
      <c r="AJ82" s="456"/>
      <c r="AK82" s="112"/>
      <c r="AL82" s="263"/>
      <c r="AM82" s="258">
        <f>IF(AL82="CO", "CO", IF(COUNTIF(AO:AO, A82)=0, 0, (8-SUMIF(AO:AO, A82, AL:AL)) / COUNTIF(AO:AO, A82)))</f>
        <v>8</v>
      </c>
      <c r="AN82" s="281"/>
      <c r="AO82" s="139">
        <f t="shared" si="8"/>
        <v>46106</v>
      </c>
      <c r="AP82" s="114" t="str">
        <f t="shared" si="9"/>
        <v/>
      </c>
      <c r="AQ82" s="115"/>
      <c r="AR82" s="116"/>
      <c r="AS82" s="116"/>
      <c r="AT82" s="118"/>
      <c r="AU82" s="116"/>
      <c r="AV82" s="118"/>
      <c r="AW82" s="116"/>
      <c r="AX82" s="116"/>
      <c r="AY82" s="116"/>
      <c r="AZ82" s="116"/>
      <c r="BA82" s="116"/>
      <c r="BB82" s="117"/>
    </row>
    <row r="83" spans="1:54" s="3" customFormat="1" ht="27" customHeight="1">
      <c r="A83" s="111">
        <v>46107</v>
      </c>
      <c r="B83" s="454"/>
      <c r="C83" s="454"/>
      <c r="D83" s="455"/>
      <c r="E83" s="455"/>
      <c r="F83" s="455"/>
      <c r="G83" s="455"/>
      <c r="H83" s="455"/>
      <c r="I83" s="455"/>
      <c r="J83" s="455"/>
      <c r="K83" s="455"/>
      <c r="L83" s="455"/>
      <c r="M83" s="455"/>
      <c r="N83" s="455"/>
      <c r="O83" s="455"/>
      <c r="P83" s="455"/>
      <c r="Q83" s="455"/>
      <c r="R83" s="455"/>
      <c r="S83" s="455"/>
      <c r="T83" s="455"/>
      <c r="U83" s="455"/>
      <c r="V83" s="455"/>
      <c r="W83" s="455"/>
      <c r="X83" s="455"/>
      <c r="Y83" s="455"/>
      <c r="Z83" s="455"/>
      <c r="AA83" s="455"/>
      <c r="AB83" s="455"/>
      <c r="AC83" s="455"/>
      <c r="AD83" s="455"/>
      <c r="AE83" s="455"/>
      <c r="AF83" s="455"/>
      <c r="AG83" s="455"/>
      <c r="AH83" s="455"/>
      <c r="AI83" s="455"/>
      <c r="AJ83" s="456"/>
      <c r="AK83" s="112"/>
      <c r="AL83" s="263"/>
      <c r="AM83" s="258">
        <f>IF(AL83="CO", "CO", IF(COUNTIF(AO:AO, A83)=0, 0, (8-SUMIF(AO:AO, A83, AL:AL)) / COUNTIF(AO:AO, A83)))</f>
        <v>8</v>
      </c>
      <c r="AN83" s="275"/>
      <c r="AO83" s="139">
        <f t="shared" si="8"/>
        <v>46107</v>
      </c>
      <c r="AP83" s="114" t="str">
        <f t="shared" si="9"/>
        <v/>
      </c>
      <c r="AQ83" s="115"/>
      <c r="AR83" s="116"/>
      <c r="AS83" s="116"/>
      <c r="AT83" s="118"/>
      <c r="AU83" s="116"/>
      <c r="AV83" s="83"/>
      <c r="AW83" s="116"/>
      <c r="AX83" s="116"/>
      <c r="AY83" s="116"/>
      <c r="AZ83" s="116"/>
      <c r="BA83" s="116"/>
      <c r="BB83" s="117"/>
    </row>
    <row r="84" spans="1:54" s="3" customFormat="1" ht="27" customHeight="1">
      <c r="A84" s="111">
        <v>46108</v>
      </c>
      <c r="B84" s="454"/>
      <c r="C84" s="454"/>
      <c r="D84" s="455"/>
      <c r="E84" s="455"/>
      <c r="F84" s="455"/>
      <c r="G84" s="455"/>
      <c r="H84" s="455"/>
      <c r="I84" s="455"/>
      <c r="J84" s="455"/>
      <c r="K84" s="455"/>
      <c r="L84" s="455"/>
      <c r="M84" s="455"/>
      <c r="N84" s="455"/>
      <c r="O84" s="455"/>
      <c r="P84" s="455"/>
      <c r="Q84" s="455"/>
      <c r="R84" s="455"/>
      <c r="S84" s="455"/>
      <c r="T84" s="455"/>
      <c r="U84" s="455"/>
      <c r="V84" s="455"/>
      <c r="W84" s="455"/>
      <c r="X84" s="455"/>
      <c r="Y84" s="455"/>
      <c r="Z84" s="455"/>
      <c r="AA84" s="455"/>
      <c r="AB84" s="455"/>
      <c r="AC84" s="455"/>
      <c r="AD84" s="455"/>
      <c r="AE84" s="455"/>
      <c r="AF84" s="455"/>
      <c r="AG84" s="455"/>
      <c r="AH84" s="455"/>
      <c r="AI84" s="455"/>
      <c r="AJ84" s="456"/>
      <c r="AK84" s="112"/>
      <c r="AL84" s="263"/>
      <c r="AM84" s="258">
        <f>IF(AL84="CO", "CO", IF(COUNTIF(AO:AO, A84)=0, 0, (8-SUMIF(AO:AO, A84, AL:AL)) / COUNTIF(AO:AO, A84)))</f>
        <v>8</v>
      </c>
      <c r="AN84" s="275"/>
      <c r="AO84" s="237">
        <f>A84</f>
        <v>46108</v>
      </c>
      <c r="AP84" s="238" t="str">
        <f>LEFT(D84,6)</f>
        <v/>
      </c>
      <c r="AQ84" s="239"/>
      <c r="AR84" s="240"/>
      <c r="AS84" s="240"/>
      <c r="AT84" s="240"/>
      <c r="AU84" s="240"/>
      <c r="AV84" s="83"/>
      <c r="AW84" s="240"/>
      <c r="AX84" s="116"/>
      <c r="AY84" s="116"/>
      <c r="AZ84" s="116"/>
      <c r="BA84" s="116"/>
      <c r="BB84" s="117"/>
    </row>
    <row r="85" spans="1:54" s="3" customFormat="1" ht="14.1" customHeight="1">
      <c r="A85" s="70">
        <v>46109</v>
      </c>
      <c r="B85" s="457"/>
      <c r="C85" s="457"/>
      <c r="D85" s="440"/>
      <c r="E85" s="440"/>
      <c r="F85" s="440"/>
      <c r="G85" s="440"/>
      <c r="H85" s="440"/>
      <c r="I85" s="440"/>
      <c r="J85" s="440"/>
      <c r="K85" s="440"/>
      <c r="L85" s="440"/>
      <c r="M85" s="440"/>
      <c r="N85" s="440"/>
      <c r="O85" s="440"/>
      <c r="P85" s="440"/>
      <c r="Q85" s="440"/>
      <c r="R85" s="440"/>
      <c r="S85" s="440"/>
      <c r="T85" s="440"/>
      <c r="U85" s="440"/>
      <c r="V85" s="440"/>
      <c r="W85" s="440"/>
      <c r="X85" s="440"/>
      <c r="Y85" s="440"/>
      <c r="Z85" s="440"/>
      <c r="AA85" s="440"/>
      <c r="AB85" s="440"/>
      <c r="AC85" s="440"/>
      <c r="AD85" s="440"/>
      <c r="AE85" s="440"/>
      <c r="AF85" s="440"/>
      <c r="AG85" s="440"/>
      <c r="AH85" s="440"/>
      <c r="AI85" s="440"/>
      <c r="AJ85" s="441"/>
      <c r="AK85" s="102"/>
      <c r="AL85" s="265"/>
      <c r="AM85" s="259"/>
      <c r="AN85" s="274"/>
      <c r="AO85" s="241">
        <f>A85</f>
        <v>46109</v>
      </c>
      <c r="AP85" s="242" t="str">
        <f>LEFT(D85,6)</f>
        <v/>
      </c>
      <c r="AQ85" s="243"/>
      <c r="AR85" s="244"/>
      <c r="AS85" s="244"/>
      <c r="AT85" s="244"/>
      <c r="AU85" s="244"/>
      <c r="AV85" s="81"/>
      <c r="AW85" s="244"/>
      <c r="AX85" s="80"/>
      <c r="AY85" s="80"/>
      <c r="AZ85" s="80"/>
      <c r="BA85" s="80"/>
      <c r="BB85" s="91"/>
    </row>
    <row r="86" spans="1:54" s="3" customFormat="1" ht="14.1" customHeight="1">
      <c r="A86" s="70">
        <v>46110</v>
      </c>
      <c r="B86" s="457"/>
      <c r="C86" s="457"/>
      <c r="D86" s="440"/>
      <c r="E86" s="440"/>
      <c r="F86" s="440"/>
      <c r="G86" s="440"/>
      <c r="H86" s="440"/>
      <c r="I86" s="440"/>
      <c r="J86" s="440"/>
      <c r="K86" s="440"/>
      <c r="L86" s="440"/>
      <c r="M86" s="440"/>
      <c r="N86" s="440"/>
      <c r="O86" s="440"/>
      <c r="P86" s="440"/>
      <c r="Q86" s="440"/>
      <c r="R86" s="440"/>
      <c r="S86" s="440"/>
      <c r="T86" s="440"/>
      <c r="U86" s="440"/>
      <c r="V86" s="440"/>
      <c r="W86" s="440"/>
      <c r="X86" s="440"/>
      <c r="Y86" s="440"/>
      <c r="Z86" s="440"/>
      <c r="AA86" s="440"/>
      <c r="AB86" s="440"/>
      <c r="AC86" s="440"/>
      <c r="AD86" s="440"/>
      <c r="AE86" s="440"/>
      <c r="AF86" s="440"/>
      <c r="AG86" s="440"/>
      <c r="AH86" s="440"/>
      <c r="AI86" s="440"/>
      <c r="AJ86" s="441"/>
      <c r="AK86" s="102"/>
      <c r="AL86" s="265"/>
      <c r="AM86" s="259"/>
      <c r="AN86" s="274"/>
      <c r="AO86" s="241">
        <f>A86</f>
        <v>46110</v>
      </c>
      <c r="AP86" s="242" t="str">
        <f>LEFT(D86,6)</f>
        <v/>
      </c>
      <c r="AQ86" s="243"/>
      <c r="AR86" s="244"/>
      <c r="AS86" s="244"/>
      <c r="AT86" s="244"/>
      <c r="AU86" s="244"/>
      <c r="AV86" s="81"/>
      <c r="AW86" s="244"/>
      <c r="AX86" s="80"/>
      <c r="AY86" s="80"/>
      <c r="AZ86" s="80"/>
      <c r="BA86" s="80"/>
      <c r="BB86" s="91"/>
    </row>
    <row r="87" spans="1:54" s="3" customFormat="1" ht="27" customHeight="1">
      <c r="A87" s="111">
        <v>46111</v>
      </c>
      <c r="B87" s="454"/>
      <c r="C87" s="454"/>
      <c r="D87" s="569"/>
      <c r="E87" s="569"/>
      <c r="F87" s="569"/>
      <c r="G87" s="569"/>
      <c r="H87" s="569"/>
      <c r="I87" s="569"/>
      <c r="J87" s="569"/>
      <c r="K87" s="569"/>
      <c r="L87" s="569"/>
      <c r="M87" s="569"/>
      <c r="N87" s="569"/>
      <c r="O87" s="569"/>
      <c r="P87" s="569"/>
      <c r="Q87" s="569"/>
      <c r="R87" s="569"/>
      <c r="S87" s="569"/>
      <c r="T87" s="569"/>
      <c r="U87" s="569"/>
      <c r="V87" s="569"/>
      <c r="W87" s="569"/>
      <c r="X87" s="569"/>
      <c r="Y87" s="569"/>
      <c r="Z87" s="569"/>
      <c r="AA87" s="569"/>
      <c r="AB87" s="569"/>
      <c r="AC87" s="569"/>
      <c r="AD87" s="569"/>
      <c r="AE87" s="569"/>
      <c r="AF87" s="569"/>
      <c r="AG87" s="569"/>
      <c r="AH87" s="569"/>
      <c r="AI87" s="569"/>
      <c r="AJ87" s="570"/>
      <c r="AK87" s="236"/>
      <c r="AL87" s="266"/>
      <c r="AM87" s="260">
        <f>IF(AL87="CO", "CO", IF(COUNTIF(AO:AO, A87)=0, 0, (8-SUMIF(AO:AO, A87, AL:AL)) / COUNTIF(AO:AO, A87)))</f>
        <v>8</v>
      </c>
      <c r="AN87" s="282"/>
      <c r="AO87" s="245">
        <f>A87</f>
        <v>46111</v>
      </c>
      <c r="AP87" s="246" t="str">
        <f>LEFT(D87,6)</f>
        <v/>
      </c>
      <c r="AQ87" s="239"/>
      <c r="AR87" s="240"/>
      <c r="AS87" s="240"/>
      <c r="AT87" s="240"/>
      <c r="AU87" s="240"/>
      <c r="AV87" s="83"/>
      <c r="AW87" s="240"/>
      <c r="AX87" s="116"/>
      <c r="AY87" s="116"/>
      <c r="AZ87" s="116"/>
      <c r="BA87" s="116"/>
      <c r="BB87" s="117"/>
    </row>
    <row r="88" spans="1:54" s="3" customFormat="1" ht="27" customHeight="1" thickBot="1">
      <c r="A88" s="247">
        <v>46112</v>
      </c>
      <c r="B88" s="571" t="s">
        <v>68</v>
      </c>
      <c r="C88" s="572"/>
      <c r="D88" s="573" t="s">
        <v>69</v>
      </c>
      <c r="E88" s="573"/>
      <c r="F88" s="573"/>
      <c r="G88" s="573"/>
      <c r="H88" s="573"/>
      <c r="I88" s="573"/>
      <c r="J88" s="573"/>
      <c r="K88" s="573"/>
      <c r="L88" s="573"/>
      <c r="M88" s="573"/>
      <c r="N88" s="573"/>
      <c r="O88" s="573"/>
      <c r="P88" s="573"/>
      <c r="Q88" s="573"/>
      <c r="R88" s="573"/>
      <c r="S88" s="573"/>
      <c r="T88" s="573"/>
      <c r="U88" s="573"/>
      <c r="V88" s="573"/>
      <c r="W88" s="573"/>
      <c r="X88" s="573"/>
      <c r="Y88" s="573"/>
      <c r="Z88" s="573"/>
      <c r="AA88" s="573"/>
      <c r="AB88" s="573"/>
      <c r="AC88" s="573"/>
      <c r="AD88" s="573"/>
      <c r="AE88" s="573"/>
      <c r="AF88" s="573"/>
      <c r="AG88" s="573"/>
      <c r="AH88" s="573"/>
      <c r="AI88" s="573"/>
      <c r="AJ88" s="574"/>
      <c r="AK88" s="248">
        <v>71.505681818181813</v>
      </c>
      <c r="AL88" s="267">
        <v>2</v>
      </c>
      <c r="AM88" s="261">
        <f>IF(AL88="CO", "CO", IF(COUNTIF(AO:AO, A88)=0, 0, (8-SUMIF(AO:AO, A88, AL:AL)) / COUNTIF(AO:AO, A88)))</f>
        <v>6</v>
      </c>
      <c r="AN88" s="283" t="s">
        <v>117</v>
      </c>
      <c r="AO88" s="249">
        <f t="shared" si="8"/>
        <v>46112</v>
      </c>
      <c r="AP88" s="250" t="str">
        <f t="shared" si="9"/>
        <v xml:space="preserve">SA1.1 </v>
      </c>
      <c r="AQ88" s="251"/>
      <c r="AR88" s="252"/>
      <c r="AS88" s="252"/>
      <c r="AT88" s="253"/>
      <c r="AU88" s="252"/>
      <c r="AV88" s="253"/>
      <c r="AW88" s="252"/>
      <c r="AX88" s="252"/>
      <c r="AY88" s="252"/>
      <c r="AZ88" s="252"/>
      <c r="BA88" s="252"/>
      <c r="BB88" s="254"/>
    </row>
    <row r="89" spans="1:54" s="3" customFormat="1" ht="15" customHeight="1" thickBot="1">
      <c r="A89" s="446" t="s">
        <v>118</v>
      </c>
      <c r="B89" s="447"/>
      <c r="C89" s="447"/>
      <c r="D89" s="447"/>
      <c r="E89" s="447"/>
      <c r="F89" s="447"/>
      <c r="G89" s="447"/>
      <c r="H89" s="447"/>
      <c r="I89" s="447"/>
      <c r="J89" s="447"/>
      <c r="K89" s="447"/>
      <c r="L89" s="447"/>
      <c r="M89" s="447"/>
      <c r="N89" s="447"/>
      <c r="O89" s="447"/>
      <c r="P89" s="447"/>
      <c r="Q89" s="447"/>
      <c r="R89" s="447"/>
      <c r="S89" s="447"/>
      <c r="T89" s="447"/>
      <c r="U89" s="447"/>
      <c r="V89" s="447"/>
      <c r="W89" s="447"/>
      <c r="X89" s="447"/>
      <c r="Y89" s="447"/>
      <c r="Z89" s="447"/>
      <c r="AA89" s="447"/>
      <c r="AB89" s="447"/>
      <c r="AC89" s="447"/>
      <c r="AD89" s="447"/>
      <c r="AE89" s="447"/>
      <c r="AF89" s="447"/>
      <c r="AG89" s="447"/>
      <c r="AH89" s="447"/>
      <c r="AI89" s="447"/>
      <c r="AJ89" s="447"/>
      <c r="AK89" s="447"/>
      <c r="AL89" s="74">
        <f>SUM(AL58:AL88)+COUNTIF(AL58:AL88,"CO")*4</f>
        <v>59</v>
      </c>
      <c r="AM89" s="74">
        <f>SUM(AM58:AM88) + COUNTIF(AM58:AM88, "CO")*4</f>
        <v>117</v>
      </c>
      <c r="AO89" s="17"/>
      <c r="AP89" s="17"/>
      <c r="AT89" s="48"/>
      <c r="AV89" s="48"/>
    </row>
    <row r="90" spans="1:54" s="3" customFormat="1" ht="14.1" customHeight="1">
      <c r="A90" s="448" t="s">
        <v>119</v>
      </c>
      <c r="B90" s="449"/>
      <c r="C90" s="449"/>
      <c r="D90" s="449"/>
      <c r="E90" s="449"/>
      <c r="F90" s="449"/>
      <c r="G90" s="449"/>
      <c r="H90" s="449"/>
      <c r="I90" s="449"/>
      <c r="J90" s="449"/>
      <c r="K90" s="449"/>
      <c r="L90" s="449"/>
      <c r="M90" s="449"/>
      <c r="N90" s="449"/>
      <c r="O90" s="449"/>
      <c r="P90" s="449"/>
      <c r="Q90" s="449"/>
      <c r="R90" s="449"/>
      <c r="S90" s="449"/>
      <c r="T90" s="449"/>
      <c r="U90" s="449"/>
      <c r="V90" s="449"/>
      <c r="W90" s="449"/>
      <c r="X90" s="449"/>
      <c r="Y90" s="449"/>
      <c r="Z90" s="449"/>
      <c r="AA90" s="449"/>
      <c r="AB90" s="449"/>
      <c r="AC90" s="449"/>
      <c r="AD90" s="449"/>
      <c r="AE90" s="449"/>
      <c r="AF90" s="449"/>
      <c r="AG90" s="449"/>
      <c r="AH90" s="449"/>
      <c r="AI90" s="449"/>
      <c r="AJ90" s="449"/>
      <c r="AK90" s="449"/>
      <c r="AL90" s="449"/>
      <c r="AM90" s="450"/>
      <c r="AO90" s="17"/>
      <c r="AP90" s="17"/>
      <c r="AT90" s="48"/>
      <c r="AV90" s="48"/>
    </row>
    <row r="91" spans="1:54" s="3" customFormat="1" ht="14.85" customHeight="1" thickBot="1">
      <c r="A91" s="451"/>
      <c r="B91" s="452"/>
      <c r="C91" s="452"/>
      <c r="D91" s="452"/>
      <c r="E91" s="452"/>
      <c r="F91" s="452"/>
      <c r="G91" s="452"/>
      <c r="H91" s="452"/>
      <c r="I91" s="452"/>
      <c r="J91" s="452"/>
      <c r="K91" s="452"/>
      <c r="L91" s="452"/>
      <c r="M91" s="452"/>
      <c r="N91" s="452"/>
      <c r="O91" s="452"/>
      <c r="P91" s="452"/>
      <c r="Q91" s="452"/>
      <c r="R91" s="452"/>
      <c r="S91" s="452"/>
      <c r="T91" s="452"/>
      <c r="U91" s="452"/>
      <c r="V91" s="452"/>
      <c r="W91" s="452"/>
      <c r="X91" s="452"/>
      <c r="Y91" s="452"/>
      <c r="Z91" s="452"/>
      <c r="AA91" s="452"/>
      <c r="AB91" s="452"/>
      <c r="AC91" s="452"/>
      <c r="AD91" s="452"/>
      <c r="AE91" s="452"/>
      <c r="AF91" s="452"/>
      <c r="AG91" s="452"/>
      <c r="AH91" s="452"/>
      <c r="AI91" s="452"/>
      <c r="AJ91" s="452"/>
      <c r="AK91" s="452"/>
      <c r="AL91" s="452"/>
      <c r="AM91" s="453"/>
      <c r="AO91" s="17"/>
      <c r="AP91" s="17"/>
      <c r="AQ91" s="3" t="s">
        <v>36</v>
      </c>
      <c r="AT91" s="48"/>
      <c r="AV91" s="48"/>
    </row>
    <row r="92" spans="1:54" s="3" customFormat="1" ht="29.1" customHeight="1">
      <c r="A92" s="431" t="s">
        <v>120</v>
      </c>
      <c r="B92" s="432"/>
      <c r="C92" s="432"/>
      <c r="D92" s="433" t="s">
        <v>38</v>
      </c>
      <c r="E92" s="434"/>
      <c r="F92" s="434"/>
      <c r="G92" s="434"/>
      <c r="H92" s="434"/>
      <c r="I92" s="434"/>
      <c r="J92" s="434"/>
      <c r="K92" s="434"/>
      <c r="L92" s="434"/>
      <c r="M92" s="434"/>
      <c r="N92" s="434"/>
      <c r="O92" s="434"/>
      <c r="P92" s="434"/>
      <c r="Q92" s="434"/>
      <c r="R92" s="434"/>
      <c r="S92" s="434"/>
      <c r="T92" s="434"/>
      <c r="U92" s="434"/>
      <c r="V92" s="434"/>
      <c r="W92" s="434"/>
      <c r="X92" s="434"/>
      <c r="Y92" s="434"/>
      <c r="Z92" s="434"/>
      <c r="AA92" s="434"/>
      <c r="AB92" s="434"/>
      <c r="AC92" s="434"/>
      <c r="AD92" s="434"/>
      <c r="AE92" s="434"/>
      <c r="AF92" s="434"/>
      <c r="AG92" s="434"/>
      <c r="AH92" s="434"/>
      <c r="AI92" s="434"/>
      <c r="AJ92" s="434"/>
      <c r="AK92" s="434"/>
      <c r="AL92" s="434"/>
      <c r="AM92" s="435"/>
      <c r="AN92" s="3" t="s">
        <v>99</v>
      </c>
      <c r="AO92" s="17" t="s">
        <v>36</v>
      </c>
      <c r="AP92" s="17"/>
      <c r="AT92" s="48"/>
      <c r="AV92" s="48"/>
    </row>
    <row r="93" spans="1:54" s="3" customFormat="1" ht="29.1" customHeight="1">
      <c r="A93" s="420" t="s">
        <v>121</v>
      </c>
      <c r="B93" s="421"/>
      <c r="C93" s="421"/>
      <c r="D93" s="428"/>
      <c r="E93" s="429"/>
      <c r="F93" s="429"/>
      <c r="G93" s="429"/>
      <c r="H93" s="429"/>
      <c r="I93" s="429"/>
      <c r="J93" s="429"/>
      <c r="K93" s="429"/>
      <c r="L93" s="429"/>
      <c r="M93" s="429"/>
      <c r="N93" s="429"/>
      <c r="O93" s="429"/>
      <c r="P93" s="429"/>
      <c r="Q93" s="429"/>
      <c r="R93" s="429"/>
      <c r="S93" s="429"/>
      <c r="T93" s="429"/>
      <c r="U93" s="429"/>
      <c r="V93" s="429"/>
      <c r="W93" s="429"/>
      <c r="X93" s="429"/>
      <c r="Y93" s="429"/>
      <c r="Z93" s="429"/>
      <c r="AA93" s="429"/>
      <c r="AB93" s="429"/>
      <c r="AC93" s="429"/>
      <c r="AD93" s="429"/>
      <c r="AE93" s="429"/>
      <c r="AF93" s="429"/>
      <c r="AG93" s="429"/>
      <c r="AH93" s="429"/>
      <c r="AI93" s="429"/>
      <c r="AJ93" s="429"/>
      <c r="AK93" s="429"/>
      <c r="AL93" s="429"/>
      <c r="AM93" s="430"/>
      <c r="AO93" s="17"/>
      <c r="AP93" s="17"/>
      <c r="AT93" s="48"/>
      <c r="AV93" s="48"/>
    </row>
    <row r="94" spans="1:54" s="3" customFormat="1" ht="29.1" customHeight="1">
      <c r="A94" s="420" t="s">
        <v>122</v>
      </c>
      <c r="B94" s="421"/>
      <c r="C94" s="421"/>
      <c r="D94" s="436">
        <v>46112</v>
      </c>
      <c r="E94" s="437">
        <v>46112</v>
      </c>
      <c r="F94" s="437">
        <v>46112</v>
      </c>
      <c r="G94" s="437">
        <v>46112</v>
      </c>
      <c r="H94" s="437">
        <v>46112</v>
      </c>
      <c r="I94" s="437">
        <v>46112</v>
      </c>
      <c r="J94" s="437">
        <v>46112</v>
      </c>
      <c r="K94" s="437">
        <v>46112</v>
      </c>
      <c r="L94" s="437">
        <v>46112</v>
      </c>
      <c r="M94" s="437">
        <v>46112</v>
      </c>
      <c r="N94" s="437">
        <v>46112</v>
      </c>
      <c r="O94" s="437">
        <v>46112</v>
      </c>
      <c r="P94" s="437">
        <v>46112</v>
      </c>
      <c r="Q94" s="437">
        <v>46112</v>
      </c>
      <c r="R94" s="437">
        <v>46112</v>
      </c>
      <c r="S94" s="437">
        <v>46112</v>
      </c>
      <c r="T94" s="437">
        <v>46112</v>
      </c>
      <c r="U94" s="437">
        <v>46112</v>
      </c>
      <c r="V94" s="437">
        <v>46112</v>
      </c>
      <c r="W94" s="437">
        <v>46112</v>
      </c>
      <c r="X94" s="437">
        <v>46112</v>
      </c>
      <c r="Y94" s="437">
        <v>46112</v>
      </c>
      <c r="Z94" s="437">
        <v>46112</v>
      </c>
      <c r="AA94" s="437">
        <v>46112</v>
      </c>
      <c r="AB94" s="437">
        <v>46112</v>
      </c>
      <c r="AC94" s="437">
        <v>46112</v>
      </c>
      <c r="AD94" s="437">
        <v>46112</v>
      </c>
      <c r="AE94" s="437">
        <v>46112</v>
      </c>
      <c r="AF94" s="437">
        <v>46112</v>
      </c>
      <c r="AG94" s="437">
        <v>46112</v>
      </c>
      <c r="AH94" s="437">
        <v>46112</v>
      </c>
      <c r="AI94" s="437">
        <v>46112</v>
      </c>
      <c r="AJ94" s="437">
        <v>46112</v>
      </c>
      <c r="AK94" s="437">
        <v>46112</v>
      </c>
      <c r="AL94" s="437">
        <v>46112</v>
      </c>
      <c r="AM94" s="438">
        <v>46112</v>
      </c>
      <c r="AO94" s="17" t="s">
        <v>36</v>
      </c>
      <c r="AP94" s="17"/>
      <c r="AT94" s="48"/>
      <c r="AV94" s="48"/>
    </row>
    <row r="95" spans="1:54" s="3" customFormat="1" ht="12.95">
      <c r="A95" s="420"/>
      <c r="B95" s="421"/>
      <c r="C95" s="421"/>
      <c r="D95" s="422"/>
      <c r="E95" s="423"/>
      <c r="F95" s="423"/>
      <c r="G95" s="423"/>
      <c r="H95" s="423"/>
      <c r="I95" s="423"/>
      <c r="J95" s="423"/>
      <c r="K95" s="423"/>
      <c r="L95" s="423"/>
      <c r="M95" s="423"/>
      <c r="N95" s="423"/>
      <c r="O95" s="423"/>
      <c r="P95" s="423"/>
      <c r="Q95" s="423"/>
      <c r="R95" s="423"/>
      <c r="S95" s="423"/>
      <c r="T95" s="423"/>
      <c r="U95" s="423"/>
      <c r="V95" s="423"/>
      <c r="W95" s="423"/>
      <c r="X95" s="423"/>
      <c r="Y95" s="423"/>
      <c r="Z95" s="423"/>
      <c r="AA95" s="423"/>
      <c r="AB95" s="423"/>
      <c r="AC95" s="423"/>
      <c r="AD95" s="423"/>
      <c r="AE95" s="423"/>
      <c r="AF95" s="423"/>
      <c r="AG95" s="423"/>
      <c r="AH95" s="423"/>
      <c r="AI95" s="423"/>
      <c r="AJ95" s="423"/>
      <c r="AK95" s="423"/>
      <c r="AL95" s="423"/>
      <c r="AM95" s="424"/>
      <c r="AO95" s="17"/>
      <c r="AP95" s="17"/>
      <c r="AT95" s="48"/>
      <c r="AV95" s="48"/>
    </row>
    <row r="96" spans="1:54" s="3" customFormat="1" ht="29.1" customHeight="1">
      <c r="A96" s="420" t="s">
        <v>123</v>
      </c>
      <c r="B96" s="421"/>
      <c r="C96" s="421"/>
      <c r="D96" s="425" t="s">
        <v>124</v>
      </c>
      <c r="E96" s="426"/>
      <c r="F96" s="426"/>
      <c r="G96" s="426"/>
      <c r="H96" s="426"/>
      <c r="I96" s="426"/>
      <c r="J96" s="426"/>
      <c r="K96" s="426"/>
      <c r="L96" s="426"/>
      <c r="M96" s="426"/>
      <c r="N96" s="426"/>
      <c r="O96" s="426"/>
      <c r="P96" s="426"/>
      <c r="Q96" s="426"/>
      <c r="R96" s="426"/>
      <c r="S96" s="426"/>
      <c r="T96" s="426"/>
      <c r="U96" s="426"/>
      <c r="V96" s="426"/>
      <c r="W96" s="426"/>
      <c r="X96" s="426"/>
      <c r="Y96" s="426"/>
      <c r="Z96" s="426"/>
      <c r="AA96" s="426"/>
      <c r="AB96" s="426"/>
      <c r="AC96" s="426"/>
      <c r="AD96" s="426"/>
      <c r="AE96" s="426"/>
      <c r="AF96" s="426"/>
      <c r="AG96" s="426"/>
      <c r="AH96" s="426"/>
      <c r="AI96" s="426"/>
      <c r="AJ96" s="426"/>
      <c r="AK96" s="426"/>
      <c r="AL96" s="426"/>
      <c r="AM96" s="427"/>
      <c r="AO96" s="17"/>
      <c r="AP96" s="17"/>
      <c r="AT96" s="48"/>
      <c r="AV96" s="48"/>
    </row>
    <row r="97" spans="1:48" s="3" customFormat="1" ht="29.1" customHeight="1">
      <c r="A97" s="420" t="s">
        <v>121</v>
      </c>
      <c r="B97" s="421"/>
      <c r="C97" s="421"/>
      <c r="D97" s="428"/>
      <c r="E97" s="429"/>
      <c r="F97" s="429"/>
      <c r="G97" s="429"/>
      <c r="H97" s="429"/>
      <c r="I97" s="429"/>
      <c r="J97" s="429"/>
      <c r="K97" s="429"/>
      <c r="L97" s="429"/>
      <c r="M97" s="429"/>
      <c r="N97" s="429"/>
      <c r="O97" s="429"/>
      <c r="P97" s="429"/>
      <c r="Q97" s="429"/>
      <c r="R97" s="429"/>
      <c r="S97" s="429"/>
      <c r="T97" s="429"/>
      <c r="U97" s="429"/>
      <c r="V97" s="429"/>
      <c r="W97" s="429"/>
      <c r="X97" s="429"/>
      <c r="Y97" s="429"/>
      <c r="Z97" s="429"/>
      <c r="AA97" s="429"/>
      <c r="AB97" s="429"/>
      <c r="AC97" s="429"/>
      <c r="AD97" s="429"/>
      <c r="AE97" s="429"/>
      <c r="AF97" s="429"/>
      <c r="AG97" s="429"/>
      <c r="AH97" s="429"/>
      <c r="AI97" s="429"/>
      <c r="AJ97" s="429"/>
      <c r="AK97" s="429"/>
      <c r="AL97" s="429"/>
      <c r="AM97" s="430"/>
      <c r="AO97" s="17"/>
      <c r="AP97" s="17"/>
      <c r="AR97" s="3" t="s">
        <v>99</v>
      </c>
      <c r="AT97" s="48"/>
      <c r="AV97" s="48"/>
    </row>
    <row r="98" spans="1:48" s="3" customFormat="1" ht="29.1" customHeight="1" thickBot="1">
      <c r="A98" s="414" t="s">
        <v>122</v>
      </c>
      <c r="B98" s="415"/>
      <c r="C98" s="415"/>
      <c r="D98" s="416">
        <v>46112</v>
      </c>
      <c r="E98" s="417">
        <v>46112</v>
      </c>
      <c r="F98" s="417">
        <v>46112</v>
      </c>
      <c r="G98" s="417">
        <v>46112</v>
      </c>
      <c r="H98" s="417">
        <v>46112</v>
      </c>
      <c r="I98" s="417">
        <v>46112</v>
      </c>
      <c r="J98" s="417">
        <v>46112</v>
      </c>
      <c r="K98" s="417">
        <v>46112</v>
      </c>
      <c r="L98" s="417">
        <v>46112</v>
      </c>
      <c r="M98" s="417">
        <v>46112</v>
      </c>
      <c r="N98" s="417">
        <v>46112</v>
      </c>
      <c r="O98" s="417">
        <v>46112</v>
      </c>
      <c r="P98" s="417">
        <v>46112</v>
      </c>
      <c r="Q98" s="417">
        <v>46112</v>
      </c>
      <c r="R98" s="417">
        <v>46112</v>
      </c>
      <c r="S98" s="417">
        <v>46112</v>
      </c>
      <c r="T98" s="417">
        <v>46112</v>
      </c>
      <c r="U98" s="417">
        <v>46112</v>
      </c>
      <c r="V98" s="417">
        <v>46112</v>
      </c>
      <c r="W98" s="417">
        <v>46112</v>
      </c>
      <c r="X98" s="417">
        <v>46112</v>
      </c>
      <c r="Y98" s="417">
        <v>46112</v>
      </c>
      <c r="Z98" s="417">
        <v>46112</v>
      </c>
      <c r="AA98" s="417">
        <v>46112</v>
      </c>
      <c r="AB98" s="417">
        <v>46112</v>
      </c>
      <c r="AC98" s="417">
        <v>46112</v>
      </c>
      <c r="AD98" s="417">
        <v>46112</v>
      </c>
      <c r="AE98" s="417">
        <v>46112</v>
      </c>
      <c r="AF98" s="417">
        <v>46112</v>
      </c>
      <c r="AG98" s="417">
        <v>46112</v>
      </c>
      <c r="AH98" s="417">
        <v>46112</v>
      </c>
      <c r="AI98" s="417">
        <v>46112</v>
      </c>
      <c r="AJ98" s="417">
        <v>46112</v>
      </c>
      <c r="AK98" s="417">
        <v>46112</v>
      </c>
      <c r="AL98" s="417">
        <v>46112</v>
      </c>
      <c r="AM98" s="418">
        <v>46112</v>
      </c>
      <c r="AO98" s="17"/>
      <c r="AP98" s="17"/>
      <c r="AT98" s="48"/>
      <c r="AV98" s="48"/>
    </row>
    <row r="99" spans="1:48" s="3" customFormat="1" ht="12.95">
      <c r="A99" s="419"/>
      <c r="B99" s="419"/>
      <c r="C99" s="419"/>
      <c r="AO99" s="17"/>
      <c r="AP99" s="17"/>
      <c r="AT99" s="48"/>
      <c r="AV99" s="48"/>
    </row>
    <row r="100" spans="1:48" s="3" customFormat="1" ht="12.95">
      <c r="A100" s="5"/>
      <c r="AO100" s="17"/>
      <c r="AP100" s="17"/>
      <c r="AT100" s="48"/>
      <c r="AV100" s="48"/>
    </row>
    <row r="101" spans="1:48" s="3" customFormat="1" ht="12.95">
      <c r="A101" s="5"/>
      <c r="AO101" s="17"/>
      <c r="AP101" s="17"/>
      <c r="AT101" s="48"/>
      <c r="AV101" s="48"/>
    </row>
    <row r="102" spans="1:48" s="3" customFormat="1" ht="12.95">
      <c r="A102" s="5"/>
      <c r="AO102" s="17"/>
      <c r="AP102" s="17"/>
      <c r="AT102" s="48"/>
      <c r="AV102" s="48"/>
    </row>
    <row r="103" spans="1:48" s="3" customFormat="1" ht="12.95">
      <c r="A103" s="5"/>
      <c r="AO103" s="17"/>
      <c r="AP103" s="17"/>
      <c r="AT103" s="48"/>
      <c r="AV103" s="48"/>
    </row>
    <row r="104" spans="1:48" s="3" customFormat="1" ht="12.95">
      <c r="A104" s="5"/>
      <c r="AO104" s="17"/>
      <c r="AP104" s="17"/>
      <c r="AT104" s="48"/>
      <c r="AV104" s="48"/>
    </row>
    <row r="105" spans="1:48" s="3" customFormat="1" ht="12.95">
      <c r="A105" s="5"/>
      <c r="AO105" s="17"/>
      <c r="AP105" s="17"/>
      <c r="AT105" s="48"/>
      <c r="AV105" s="48"/>
    </row>
    <row r="106" spans="1:48" s="3" customFormat="1" ht="12.95">
      <c r="A106" s="5"/>
      <c r="AO106" s="17"/>
      <c r="AP106" s="17"/>
      <c r="AT106" s="48"/>
      <c r="AV106" s="48"/>
    </row>
    <row r="107" spans="1:48" s="3" customFormat="1" ht="12.95">
      <c r="A107" s="5"/>
      <c r="AO107" s="17"/>
      <c r="AP107" s="17"/>
      <c r="AT107" s="48"/>
      <c r="AV107" s="48"/>
    </row>
    <row r="108" spans="1:48" s="3" customFormat="1" ht="12.95">
      <c r="A108" s="5"/>
      <c r="AO108" s="17"/>
      <c r="AP108" s="17"/>
      <c r="AT108" s="48"/>
      <c r="AV108" s="48"/>
    </row>
    <row r="109" spans="1:48" s="3" customFormat="1" ht="12.95">
      <c r="A109" s="5"/>
      <c r="AO109" s="17"/>
      <c r="AP109" s="17"/>
      <c r="AT109" s="48"/>
      <c r="AV109" s="48"/>
    </row>
    <row r="110" spans="1:48" s="3" customFormat="1" ht="12.95">
      <c r="A110" s="5"/>
      <c r="AO110" s="17"/>
      <c r="AP110" s="17"/>
      <c r="AT110" s="48"/>
      <c r="AV110" s="48"/>
    </row>
    <row r="111" spans="1:48" s="3" customFormat="1" ht="12.95">
      <c r="A111" s="5"/>
      <c r="AO111" s="17"/>
      <c r="AP111" s="17"/>
      <c r="AT111" s="48"/>
      <c r="AV111" s="48"/>
    </row>
    <row r="112" spans="1:48" s="3" customFormat="1" ht="12.95">
      <c r="A112" s="5"/>
      <c r="AO112" s="17"/>
      <c r="AP112" s="17"/>
      <c r="AT112" s="48"/>
      <c r="AV112" s="48"/>
    </row>
    <row r="113" spans="1:48" s="3" customFormat="1" ht="12.95">
      <c r="A113" s="5"/>
      <c r="AO113" s="17"/>
      <c r="AP113" s="17"/>
      <c r="AT113" s="48"/>
      <c r="AV113" s="48"/>
    </row>
    <row r="114" spans="1:48" s="3" customFormat="1" ht="12.95">
      <c r="A114" s="5"/>
      <c r="AO114" s="17"/>
      <c r="AP114" s="17"/>
      <c r="AT114" s="48"/>
      <c r="AV114" s="48"/>
    </row>
    <row r="115" spans="1:48" s="3" customFormat="1" ht="12.95">
      <c r="A115" s="5"/>
      <c r="AO115" s="17"/>
      <c r="AP115" s="17"/>
      <c r="AT115" s="48"/>
      <c r="AV115" s="48"/>
    </row>
    <row r="116" spans="1:48" s="3" customFormat="1" ht="12.95">
      <c r="A116" s="5"/>
      <c r="AO116" s="17"/>
      <c r="AP116" s="17"/>
      <c r="AT116" s="48"/>
      <c r="AV116" s="48"/>
    </row>
    <row r="117" spans="1:48" s="3" customFormat="1" ht="12.95">
      <c r="A117" s="5"/>
      <c r="AO117" s="17"/>
      <c r="AP117" s="17"/>
      <c r="AT117" s="48"/>
      <c r="AV117" s="48"/>
    </row>
    <row r="118" spans="1:48" s="3" customFormat="1" ht="12.95">
      <c r="A118" s="5"/>
      <c r="AO118" s="17"/>
      <c r="AP118" s="17"/>
      <c r="AT118" s="48"/>
      <c r="AV118" s="48"/>
    </row>
    <row r="119" spans="1:48" s="3" customFormat="1" ht="12.95">
      <c r="A119" s="5"/>
      <c r="AO119" s="17"/>
      <c r="AP119" s="17"/>
      <c r="AT119" s="48"/>
      <c r="AV119" s="48"/>
    </row>
    <row r="120" spans="1:48" s="3" customFormat="1" ht="12.95">
      <c r="A120" s="5"/>
      <c r="AO120" s="17"/>
      <c r="AP120" s="17"/>
      <c r="AT120" s="48"/>
      <c r="AV120" s="48"/>
    </row>
    <row r="121" spans="1:48" s="3" customFormat="1" ht="12.95">
      <c r="A121" s="5"/>
      <c r="AO121" s="17"/>
      <c r="AP121" s="17"/>
      <c r="AT121" s="48"/>
      <c r="AV121" s="48"/>
    </row>
    <row r="122" spans="1:48" s="3" customFormat="1" ht="12.95">
      <c r="A122" s="5"/>
      <c r="AO122" s="17"/>
      <c r="AP122" s="17"/>
      <c r="AT122" s="48"/>
      <c r="AV122" s="48"/>
    </row>
    <row r="123" spans="1:48" s="3" customFormat="1" ht="12.95">
      <c r="A123" s="5"/>
      <c r="AO123" s="17"/>
      <c r="AP123" s="17"/>
      <c r="AT123" s="48"/>
      <c r="AV123" s="48"/>
    </row>
    <row r="124" spans="1:48" s="3" customFormat="1" ht="12.95">
      <c r="A124" s="5"/>
      <c r="AO124" s="17"/>
      <c r="AP124" s="17"/>
      <c r="AT124" s="48"/>
      <c r="AV124" s="48"/>
    </row>
    <row r="125" spans="1:48" s="3" customFormat="1" ht="12.95">
      <c r="A125" s="5"/>
      <c r="AO125" s="17"/>
      <c r="AP125" s="17"/>
      <c r="AT125" s="48"/>
      <c r="AV125" s="48"/>
    </row>
    <row r="126" spans="1:48" s="3" customFormat="1" ht="12.95">
      <c r="A126" s="5"/>
      <c r="AO126" s="17"/>
      <c r="AP126" s="17"/>
      <c r="AT126" s="48"/>
      <c r="AV126" s="48"/>
    </row>
    <row r="127" spans="1:48" s="3" customFormat="1" ht="12.95">
      <c r="A127" s="5"/>
      <c r="AO127" s="17"/>
      <c r="AP127" s="17"/>
      <c r="AT127" s="48"/>
      <c r="AV127" s="48"/>
    </row>
    <row r="128" spans="1:48" s="3" customFormat="1" ht="12.95">
      <c r="A128" s="5"/>
      <c r="AO128" s="17"/>
      <c r="AP128" s="17"/>
      <c r="AT128" s="48"/>
      <c r="AV128" s="48"/>
    </row>
    <row r="129" spans="1:48" s="3" customFormat="1" ht="12.95">
      <c r="A129" s="5"/>
      <c r="AO129" s="17"/>
      <c r="AP129" s="17"/>
      <c r="AT129" s="48"/>
      <c r="AV129" s="48"/>
    </row>
    <row r="130" spans="1:48" s="3" customFormat="1" ht="12.95">
      <c r="A130" s="5"/>
      <c r="AO130" s="17"/>
      <c r="AP130" s="17"/>
      <c r="AT130" s="48"/>
      <c r="AV130" s="48"/>
    </row>
    <row r="131" spans="1:48" s="3" customFormat="1" ht="12.95">
      <c r="A131" s="5"/>
      <c r="AO131" s="17"/>
      <c r="AP131" s="17"/>
      <c r="AT131" s="48"/>
      <c r="AV131" s="48"/>
    </row>
    <row r="132" spans="1:48" s="3" customFormat="1" ht="12.95">
      <c r="A132" s="5"/>
      <c r="AO132" s="17"/>
      <c r="AP132" s="17"/>
      <c r="AT132" s="48"/>
      <c r="AV132" s="48"/>
    </row>
    <row r="133" spans="1:48" s="3" customFormat="1" ht="12.95">
      <c r="A133" s="5"/>
      <c r="AO133" s="17"/>
      <c r="AP133" s="17"/>
      <c r="AT133" s="48"/>
      <c r="AV133" s="48"/>
    </row>
    <row r="134" spans="1:48" s="3" customFormat="1" ht="12.95">
      <c r="A134" s="5"/>
      <c r="AO134" s="17"/>
      <c r="AP134" s="17"/>
      <c r="AT134" s="48"/>
      <c r="AV134" s="48"/>
    </row>
    <row r="135" spans="1:48" s="3" customFormat="1" ht="12.95">
      <c r="A135" s="5"/>
      <c r="AO135" s="17"/>
      <c r="AP135" s="17"/>
      <c r="AT135" s="48"/>
      <c r="AV135" s="48"/>
    </row>
    <row r="136" spans="1:48" s="3" customFormat="1" ht="12.95">
      <c r="A136" s="5"/>
      <c r="AO136" s="17"/>
      <c r="AP136" s="17"/>
      <c r="AT136" s="48"/>
      <c r="AV136" s="48"/>
    </row>
    <row r="137" spans="1:48" s="3" customFormat="1" ht="12.95">
      <c r="A137" s="5"/>
      <c r="AO137" s="17"/>
      <c r="AP137" s="17"/>
      <c r="AT137" s="48"/>
      <c r="AV137" s="48"/>
    </row>
    <row r="138" spans="1:48" s="3" customFormat="1" ht="12.95">
      <c r="A138" s="5"/>
      <c r="AO138" s="17"/>
      <c r="AP138" s="17"/>
      <c r="AT138" s="48"/>
      <c r="AV138" s="48"/>
    </row>
    <row r="139" spans="1:48" s="3" customFormat="1" ht="12.95">
      <c r="A139" s="5"/>
      <c r="AO139" s="17"/>
      <c r="AP139" s="17"/>
      <c r="AT139" s="48"/>
      <c r="AV139" s="48"/>
    </row>
    <row r="140" spans="1:48" s="3" customFormat="1" ht="12.95">
      <c r="A140" s="5"/>
      <c r="AO140" s="17"/>
      <c r="AP140" s="17"/>
      <c r="AT140" s="48"/>
      <c r="AV140" s="48"/>
    </row>
    <row r="141" spans="1:48" s="3" customFormat="1" ht="12.95">
      <c r="A141" s="5"/>
      <c r="AO141" s="17"/>
      <c r="AP141" s="17"/>
      <c r="AT141" s="48"/>
      <c r="AV141" s="48"/>
    </row>
    <row r="142" spans="1:48" s="3" customFormat="1" ht="12.95">
      <c r="A142" s="5"/>
      <c r="AO142" s="17"/>
      <c r="AP142" s="17"/>
      <c r="AT142" s="48"/>
      <c r="AV142" s="48"/>
    </row>
    <row r="143" spans="1:48" s="3" customFormat="1" ht="12.95">
      <c r="A143" s="5"/>
      <c r="AO143" s="17"/>
      <c r="AP143" s="17"/>
      <c r="AT143" s="48"/>
      <c r="AV143" s="48"/>
    </row>
    <row r="144" spans="1:48" s="3" customFormat="1" ht="12.95">
      <c r="A144" s="5"/>
      <c r="AO144" s="17"/>
      <c r="AP144" s="17"/>
      <c r="AT144" s="48"/>
      <c r="AV144" s="48"/>
    </row>
    <row r="145" spans="1:48" s="3" customFormat="1" ht="12.95">
      <c r="A145" s="5"/>
      <c r="AO145" s="17"/>
      <c r="AP145" s="17"/>
      <c r="AT145" s="48"/>
      <c r="AV145" s="48"/>
    </row>
    <row r="146" spans="1:48" s="3" customFormat="1" ht="12.95">
      <c r="A146" s="5"/>
      <c r="AO146" s="17"/>
      <c r="AP146" s="17"/>
      <c r="AT146" s="48"/>
      <c r="AV146" s="48"/>
    </row>
    <row r="147" spans="1:48" s="3" customFormat="1" ht="12.95">
      <c r="A147" s="5"/>
      <c r="AO147" s="17"/>
      <c r="AP147" s="17"/>
      <c r="AT147" s="48"/>
      <c r="AV147" s="48"/>
    </row>
    <row r="148" spans="1:48" s="3" customFormat="1" ht="12.95">
      <c r="A148" s="5"/>
      <c r="AO148" s="17"/>
      <c r="AP148" s="17"/>
      <c r="AT148" s="48"/>
      <c r="AV148" s="48"/>
    </row>
    <row r="149" spans="1:48" s="3" customFormat="1" ht="12.95">
      <c r="A149" s="5"/>
      <c r="AO149" s="17"/>
      <c r="AP149" s="17"/>
      <c r="AT149" s="48"/>
      <c r="AV149" s="48"/>
    </row>
    <row r="150" spans="1:48" s="3" customFormat="1" ht="12.95">
      <c r="A150" s="5"/>
      <c r="AO150" s="17"/>
      <c r="AP150" s="17"/>
      <c r="AT150" s="48"/>
      <c r="AV150" s="48"/>
    </row>
    <row r="151" spans="1:48" s="3" customFormat="1" ht="12.95">
      <c r="A151" s="5"/>
      <c r="AO151" s="17"/>
      <c r="AP151" s="17"/>
      <c r="AT151" s="48"/>
      <c r="AV151" s="48"/>
    </row>
    <row r="152" spans="1:48" s="3" customFormat="1" ht="12.95">
      <c r="A152" s="5"/>
      <c r="AO152" s="17"/>
      <c r="AP152" s="17"/>
      <c r="AT152" s="48"/>
      <c r="AV152" s="48"/>
    </row>
    <row r="153" spans="1:48" s="3" customFormat="1" ht="12.95">
      <c r="A153" s="5"/>
      <c r="AO153" s="17"/>
      <c r="AP153" s="17"/>
      <c r="AT153" s="48"/>
      <c r="AV153" s="48"/>
    </row>
    <row r="154" spans="1:48" s="3" customFormat="1" ht="12.95">
      <c r="A154" s="5"/>
      <c r="AO154" s="17"/>
      <c r="AP154" s="17"/>
      <c r="AT154" s="48"/>
      <c r="AV154" s="48"/>
    </row>
    <row r="155" spans="1:48" s="3" customFormat="1" ht="12.95">
      <c r="A155" s="5"/>
      <c r="AO155" s="17"/>
      <c r="AP155" s="17"/>
      <c r="AT155" s="48"/>
      <c r="AV155" s="48"/>
    </row>
    <row r="156" spans="1:48" s="3" customFormat="1" ht="12.95">
      <c r="A156" s="5"/>
      <c r="AO156" s="17"/>
      <c r="AP156" s="17"/>
      <c r="AT156" s="48"/>
      <c r="AV156" s="48"/>
    </row>
    <row r="157" spans="1:48" s="3" customFormat="1" ht="12.95">
      <c r="A157" s="5"/>
      <c r="AO157" s="17"/>
      <c r="AP157" s="17"/>
      <c r="AT157" s="48"/>
      <c r="AV157" s="48"/>
    </row>
    <row r="158" spans="1:48" s="3" customFormat="1" ht="12.95">
      <c r="A158" s="5"/>
      <c r="AO158" s="17"/>
      <c r="AP158" s="17"/>
      <c r="AT158" s="48"/>
      <c r="AV158" s="48"/>
    </row>
    <row r="159" spans="1:48" s="3" customFormat="1" ht="12.95">
      <c r="A159" s="5"/>
      <c r="AO159" s="17"/>
      <c r="AP159" s="17"/>
      <c r="AT159" s="48"/>
      <c r="AV159" s="48"/>
    </row>
    <row r="160" spans="1:48" s="3" customFormat="1" ht="12.95">
      <c r="A160" s="5"/>
      <c r="AO160" s="17"/>
      <c r="AP160" s="17"/>
      <c r="AT160" s="48"/>
      <c r="AV160" s="48"/>
    </row>
    <row r="161" spans="1:48" s="3" customFormat="1" ht="12.95">
      <c r="A161" s="5"/>
      <c r="AO161" s="17"/>
      <c r="AP161" s="17"/>
      <c r="AT161" s="48"/>
      <c r="AV161" s="48"/>
    </row>
    <row r="162" spans="1:48" s="3" customFormat="1" ht="12.95">
      <c r="A162" s="5"/>
      <c r="AO162" s="17"/>
      <c r="AP162" s="17"/>
      <c r="AT162" s="48"/>
      <c r="AV162" s="48"/>
    </row>
    <row r="163" spans="1:48" s="3" customFormat="1" ht="12.95">
      <c r="A163" s="5"/>
      <c r="AO163" s="17"/>
      <c r="AP163" s="17"/>
      <c r="AT163" s="48"/>
      <c r="AV163" s="48"/>
    </row>
    <row r="164" spans="1:48" s="3" customFormat="1" ht="12.95">
      <c r="A164" s="5"/>
      <c r="AO164" s="17"/>
      <c r="AP164" s="17"/>
      <c r="AT164" s="48"/>
      <c r="AV164" s="48"/>
    </row>
    <row r="165" spans="1:48" ht="12.95">
      <c r="A165" s="5"/>
    </row>
    <row r="166" spans="1:48" ht="12.95">
      <c r="A166" s="5"/>
    </row>
    <row r="167" spans="1:48" ht="12.95">
      <c r="A167" s="5"/>
    </row>
    <row r="168" spans="1:48" ht="12.95">
      <c r="A168" s="5"/>
    </row>
    <row r="169" spans="1:48" ht="12.95">
      <c r="A169" s="5"/>
    </row>
  </sheetData>
  <sheetProtection insertRows="0" insertHyperlinks="0" autoFilter="0"/>
  <protectedRanges>
    <protectedRange algorithmName="SHA-512" hashValue="7FJpRjMClRRlEDaRiv2I45XnJ5nVe6Y81mjOK27+pd76r1+ad5pIvVkVn8vpLooPef4Z+bpcH2bfqg0F/3hsww==" saltValue="Lq5joJryvX0cvidipyTKig==" spinCount="100000" sqref="AI15:AI16" name="Total ore_2_1_1"/>
  </protectedRanges>
  <mergeCells count="112">
    <mergeCell ref="B8:AF10"/>
    <mergeCell ref="B11:AF11"/>
    <mergeCell ref="A12:AF12"/>
    <mergeCell ref="AG12:AG14"/>
    <mergeCell ref="AH12:AH14"/>
    <mergeCell ref="AI12:AI14"/>
    <mergeCell ref="I24:O24"/>
    <mergeCell ref="P24:V24"/>
    <mergeCell ref="I25:O25"/>
    <mergeCell ref="P25:V25"/>
    <mergeCell ref="I26:O26"/>
    <mergeCell ref="P26:V26"/>
    <mergeCell ref="AJ12:AJ14"/>
    <mergeCell ref="AK12:AK14"/>
    <mergeCell ref="AL12:AL14"/>
    <mergeCell ref="I19:O19"/>
    <mergeCell ref="P19:V19"/>
    <mergeCell ref="I21:O21"/>
    <mergeCell ref="P21:V21"/>
    <mergeCell ref="A54:F54"/>
    <mergeCell ref="G54:AM54"/>
    <mergeCell ref="A55:F55"/>
    <mergeCell ref="G55:AM55"/>
    <mergeCell ref="A56:F56"/>
    <mergeCell ref="G56:AM56"/>
    <mergeCell ref="I27:O27"/>
    <mergeCell ref="P27:V27"/>
    <mergeCell ref="A52:F52"/>
    <mergeCell ref="G52:AM52"/>
    <mergeCell ref="A53:F53"/>
    <mergeCell ref="G53:AM53"/>
    <mergeCell ref="B60:C60"/>
    <mergeCell ref="D60:AJ60"/>
    <mergeCell ref="B61:C61"/>
    <mergeCell ref="D61:AJ61"/>
    <mergeCell ref="B62:C62"/>
    <mergeCell ref="D62:AJ62"/>
    <mergeCell ref="B57:C57"/>
    <mergeCell ref="D57:AJ57"/>
    <mergeCell ref="B58:C58"/>
    <mergeCell ref="D58:AJ58"/>
    <mergeCell ref="B59:C59"/>
    <mergeCell ref="D59:AJ59"/>
    <mergeCell ref="B66:C66"/>
    <mergeCell ref="D66:AJ66"/>
    <mergeCell ref="B67:C67"/>
    <mergeCell ref="D67:AJ67"/>
    <mergeCell ref="B68:C68"/>
    <mergeCell ref="D68:AJ68"/>
    <mergeCell ref="B63:C63"/>
    <mergeCell ref="D63:AJ63"/>
    <mergeCell ref="B64:C64"/>
    <mergeCell ref="D64:AJ64"/>
    <mergeCell ref="B65:C65"/>
    <mergeCell ref="D65:AJ65"/>
    <mergeCell ref="B72:C72"/>
    <mergeCell ref="D72:AJ72"/>
    <mergeCell ref="B73:C73"/>
    <mergeCell ref="D73:AJ73"/>
    <mergeCell ref="B74:C74"/>
    <mergeCell ref="D74:AJ74"/>
    <mergeCell ref="B69:C69"/>
    <mergeCell ref="D69:AJ69"/>
    <mergeCell ref="B70:C70"/>
    <mergeCell ref="D70:AJ70"/>
    <mergeCell ref="B71:C71"/>
    <mergeCell ref="D71:AJ71"/>
    <mergeCell ref="B78:C78"/>
    <mergeCell ref="D78:AJ78"/>
    <mergeCell ref="B79:C79"/>
    <mergeCell ref="D79:AJ79"/>
    <mergeCell ref="B80:C80"/>
    <mergeCell ref="D80:AJ80"/>
    <mergeCell ref="B75:C75"/>
    <mergeCell ref="D75:AJ75"/>
    <mergeCell ref="B76:C76"/>
    <mergeCell ref="D76:AJ76"/>
    <mergeCell ref="B77:C77"/>
    <mergeCell ref="D77:AJ77"/>
    <mergeCell ref="D92:AM92"/>
    <mergeCell ref="B88:C88"/>
    <mergeCell ref="D88:AJ88"/>
    <mergeCell ref="B81:C81"/>
    <mergeCell ref="D81:AJ81"/>
    <mergeCell ref="B82:C82"/>
    <mergeCell ref="D82:AJ82"/>
    <mergeCell ref="B83:C83"/>
    <mergeCell ref="D83:AJ83"/>
    <mergeCell ref="A99:C99"/>
    <mergeCell ref="D84:AJ84"/>
    <mergeCell ref="D85:AJ85"/>
    <mergeCell ref="B84:C84"/>
    <mergeCell ref="B85:C85"/>
    <mergeCell ref="D86:AJ86"/>
    <mergeCell ref="D87:AJ87"/>
    <mergeCell ref="B86:C86"/>
    <mergeCell ref="B87:C87"/>
    <mergeCell ref="A96:C96"/>
    <mergeCell ref="D96:AM96"/>
    <mergeCell ref="A97:C97"/>
    <mergeCell ref="D97:AM97"/>
    <mergeCell ref="A98:C98"/>
    <mergeCell ref="D98:AM98"/>
    <mergeCell ref="A93:C93"/>
    <mergeCell ref="D93:AM93"/>
    <mergeCell ref="A94:C94"/>
    <mergeCell ref="D94:AM94"/>
    <mergeCell ref="A95:C95"/>
    <mergeCell ref="D95:AM95"/>
    <mergeCell ref="A89:AK89"/>
    <mergeCell ref="A90:AM91"/>
    <mergeCell ref="A92:C92"/>
  </mergeCells>
  <dataValidations count="7">
    <dataValidation type="custom" errorStyle="warning" showInputMessage="1" showErrorMessage="1" errorTitle="Eroare Validare RP" error="- Dacă AQ este „Da”, trebuie să completezi AR cu experții._x000a_- Stadiul livrabilului (AS) este obligatoriu._x000a_" promptTitle="Validare RP" prompt="Selectează „Da” sau „Nu” pentru Livrabil Comun._x000a_- AR: Completează experții dacă AQ este „Da”._x000a_- AS: Completează stadiul livrabilului (obligatoriu)." sqref="AT79" xr:uid="{78874C30-1637-417D-957C-6854C3521540}">
      <formula1>AND(AQ83="Nu", OR(AQ83="Da", AND(AQ83="Da", AR83&lt;&gt;"")), AS83&lt;&gt;"")</formula1>
    </dataValidation>
    <dataValidation type="custom" errorStyle="warning" showInputMessage="1" showErrorMessage="1" errorTitle="Eroare Validare RP" error="- Dacă AQ este „Da”, trebuie să completezi AR cu experții._x000a_- Stadiul livrabilului (AS) este obligatoriu._x000a_" promptTitle="Validare RP" prompt="Selectează „Da” sau „Nu” pentru Livrabil Comun._x000a_- AR: Completează experții dacă AQ este „Da”._x000a_- AS: Completează stadiul livrabilului (obligatoriu)." sqref="AT88" xr:uid="{11BB82A4-D367-486C-9A41-EE5FF454E0CF}">
      <formula1>AND(#REF!="Nu", OR(#REF!="Da", AND(#REF!="Da", #REF!&lt;&gt;"")), #REF!&lt;&gt;"")</formula1>
    </dataValidation>
    <dataValidation type="custom" allowBlank="1" showInputMessage="1" showErrorMessage="1" errorTitle="Eroare Validare Livrabil" error="Categoria livrabilului (AU) este obligatoriu." sqref="AV72 AV68:AV70" xr:uid="{DE78BD8D-4E9F-4A7B-9A79-F5ABD585F079}">
      <formula1>AU71&lt;&gt;""</formula1>
    </dataValidation>
    <dataValidation type="custom" allowBlank="1" showInputMessage="1" showErrorMessage="1" errorTitle="Eroare Validare Livrabil" error="Categoria livrabilului (AU) este obligatoriu." sqref="AV58:AV59 AV61 AV74 AV64 AV76:AV88" xr:uid="{D21B6EB1-D8E6-436D-B1BA-13A77B01A601}">
      <formula1>AU60&lt;&gt;""</formula1>
    </dataValidation>
    <dataValidation type="custom" errorStyle="warning" showInputMessage="1" showErrorMessage="1" errorTitle="Eroare Validare RP" error="- Dacă AQ este „Da”, trebuie să completezi AR cu experții._x000a_- Stadiul livrabilului (AS) este obligatoriu._x000a_" promptTitle="Validare RP" prompt="Selectează „Da” sau „Nu” pentru Livrabil Comun._x000a_- AR: Completează experții dacă AQ este „Da”._x000a_- AS: Completează stadiul livrabilului (obligatoriu)." sqref="AT75 AT64 AT58" xr:uid="{6C09BD31-49D3-4620-BFA3-CCA1D0D11657}">
      <formula1>AND(AQ60="Nu", OR(AQ60="Da", AND(AQ60="Da", AR60&lt;&gt;"")), AS60&lt;&gt;"")</formula1>
    </dataValidation>
    <dataValidation type="custom" allowBlank="1" showInputMessage="1" showErrorMessage="1" errorTitle="Eroare Validare Livrabil" promptTitle="Validare livrabil" prompt="Asigură-te că celula ”Categorie livrabil 2” este completată înainte de a introduce date în Livrabil 2" sqref="AX58:AX88" xr:uid="{73B0D27E-4048-4CA9-868A-358112A9F1EF}">
      <formula1>AW60&lt;&gt;""</formula1>
    </dataValidation>
    <dataValidation type="custom" allowBlank="1" showInputMessage="1" showErrorMessage="1" errorTitle="Eroare Validare Livrabil" promptTitle="Validare livrabil" prompt="Asigură-te că celula ”Categorie livrabil 2” este completată înainte de a introduce date în Livrabil 2" sqref="AV80" xr:uid="{7A6C6DFC-CC62-41D3-9659-B76A45E33726}">
      <formula1>AS82&lt;&gt;""</formula1>
    </dataValidation>
  </dataValidations>
  <hyperlinks>
    <hyperlink ref="AT60" r:id="rId1" display="20260303_RP_GDPR__ Conferință de presă CPC.docx" xr:uid="{A34F572C-088E-47FE-B3FF-69D47DF17B6A}"/>
    <hyperlink ref="AT61" r:id="rId2" display="20260304_RP_Verificare conformitate GDPR_dosar CES_ AJ Tr Arges.docx" xr:uid="{3BEF108D-EFE7-4F04-A098-446F68845428}"/>
    <hyperlink ref="AT63" r:id="rId3" display="20260306_RP_ Intalniri online -feb 2026.docx" xr:uid="{4562DDBA-367B-46F9-AA75-A4B42231E176}"/>
    <hyperlink ref="AT67" r:id="rId4" display="20260310_RP EVENIMENTE BH_GDPR_feb 2026.docx" xr:uid="{C45484D1-5B9A-4691-8CC9-3752B779038B}"/>
    <hyperlink ref="AT77" r:id="rId5" display="20260311_GT-Monitorizare GDPR pe perioada 01.02.2026-28.02.2026.docx" xr:uid="{9A8580E3-744A-48D7-99FC-6CE43CAD59FE}"/>
    <hyperlink ref="AT69" r:id="rId6" display="20260312_RP_GDPR facturare si plata Godmother.docx" xr:uid="{C9C58207-B0E1-4D2F-8925-27009A8256CA}"/>
    <hyperlink ref="AT73" r:id="rId7" display="20260316_RP_GDPR_relansare Licitatie.docx" xr:uid="{A554D83F-125F-4833-B7D2-B7D148F90020}"/>
    <hyperlink ref="AT70" r:id="rId8" display="20260305_RP_ GDPR_Comunicate_Feb 2026.docx" xr:uid="{B5143761-9593-49A9-9124-1687EE3468E6}"/>
    <hyperlink ref="AV80" r:id="rId9" display="https://confederatiaconcordia.sharepoint.com/:w:/s/PEO2024-2028/IQBvv1jjckzQQJAV7c5S4dm2AT_r7hBZNgkHf4Z1mnMmMGo?e=WnZlvO" xr:uid="{98FB290F-A8EA-41DD-AB90-EA59A1E0C4C3}"/>
    <hyperlink ref="AV81" r:id="rId10" display="https://confederatiaconcordia.sharepoint.com/:w:/s/PEO2024-2028/IQD2Ya1j74bqSKH3l5wFy_jSATGfkTLGFNR3PSwpMq6jazk?e=IogGCF" xr:uid="{77E73A76-76B3-4A90-A2A8-3437DB32D3E7}"/>
    <hyperlink ref="AT74" r:id="rId11" display="MOM la Roxana I" xr:uid="{3DDD38F3-4714-4AD6-9DD9-E38120AC8349}"/>
    <hyperlink ref="AT62" r:id="rId12" display="RP la Bianca" xr:uid="{3B4F4CC8-1E4F-4F41-BF6E-CFEE1A0F9097}"/>
  </hyperlinks>
  <pageMargins left="0.25" right="0.25" top="0.75" bottom="0.75" header="0.3" footer="0.3"/>
  <pageSetup paperSize="9" scale="31" fitToWidth="0" orientation="portrait" r:id="rId13"/>
  <drawing r:id="rId14"/>
  <tableParts count="1">
    <tablePart r:id="rId15"/>
  </tableParts>
  <extLst>
    <ext xmlns:x14="http://schemas.microsoft.com/office/spreadsheetml/2009/9/main" uri="{CCE6A557-97BC-4b89-ADB6-D9C93CAAB3DF}">
      <x14:dataValidations xmlns:xm="http://schemas.microsoft.com/office/excel/2006/main" count="5">
        <x14:dataValidation type="list" allowBlank="1" showInputMessage="1" showErrorMessage="1" xr:uid="{60C18693-E722-460D-BA80-E5EE759E87E5}">
          <x14:formula1>
            <xm:f>Activitati!$A$1</xm:f>
          </x14:formula1>
          <xm:sqref>B60:C64 B67:C74 B77:C87</xm:sqref>
        </x14:dataValidation>
        <x14:dataValidation type="list" allowBlank="1" showInputMessage="1" showErrorMessage="1" xr:uid="{E47A75A2-0BDA-46E4-A521-3B52C7F7098F}">
          <x14:formula1>
            <xm:f>Activitati!$D$2:$D$11</xm:f>
          </x14:formula1>
          <xm:sqref>AV75 AZ58:AZ88 AW58:AW88 AU58:AU88</xm:sqref>
        </x14:dataValidation>
        <x14:dataValidation type="list" allowBlank="1" showInputMessage="1" showErrorMessage="1" xr:uid="{7A58309A-5855-4BC1-9288-A4F6B805DB8A}">
          <x14:formula1>
            <xm:f>Activitati!$B$2:$B$3</xm:f>
          </x14:formula1>
          <xm:sqref>AQ58:AQ88</xm:sqref>
        </x14:dataValidation>
        <x14:dataValidation type="list" allowBlank="1" showInputMessage="1" showErrorMessage="1" xr:uid="{8F796D85-F6B8-4F04-A2EE-2D0405857273}">
          <x14:formula1>
            <xm:f>Activitati!$C$2:$C$3</xm:f>
          </x14:formula1>
          <xm:sqref>AS58:AS88</xm:sqref>
        </x14:dataValidation>
        <x14:dataValidation type="list" allowBlank="1" showInputMessage="1" showErrorMessage="1" xr:uid="{6FAD5035-0A2F-47BC-841E-9A9296D11A06}">
          <x14:formula1>
            <xm:f>Activitati!$A$2</xm:f>
          </x14:formula1>
          <xm:sqref>D58:AJ88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94C6D-77E3-4CB5-85B0-6C4C240DE7BA}">
  <sheetPr>
    <pageSetUpPr fitToPage="1"/>
  </sheetPr>
  <dimension ref="A1:BB168"/>
  <sheetViews>
    <sheetView showGridLines="0" topLeftCell="AL64" zoomScale="42" zoomScaleNormal="70" workbookViewId="0">
      <selection activeCell="AT72" sqref="AT72"/>
    </sheetView>
  </sheetViews>
  <sheetFormatPr defaultColWidth="8.5703125" defaultRowHeight="12.75" customHeight="1"/>
  <cols>
    <col min="1" max="1" width="30.42578125" style="1" customWidth="1"/>
    <col min="2" max="32" width="3.5703125" style="1" customWidth="1"/>
    <col min="33" max="34" width="7.42578125" style="1" customWidth="1"/>
    <col min="35" max="35" width="6.5703125" style="1" customWidth="1"/>
    <col min="36" max="36" width="6.42578125" style="1" customWidth="1"/>
    <col min="37" max="37" width="7.5703125" style="1" customWidth="1"/>
    <col min="38" max="38" width="8.42578125" style="1" customWidth="1"/>
    <col min="39" max="39" width="9.5703125" style="1" customWidth="1"/>
    <col min="40" max="40" width="77.42578125" style="1" customWidth="1"/>
    <col min="41" max="41" width="17.5703125" style="2" customWidth="1"/>
    <col min="42" max="42" width="14.5703125" style="2" customWidth="1"/>
    <col min="43" max="43" width="22.85546875" style="1" customWidth="1"/>
    <col min="44" max="44" width="28.42578125" style="1" customWidth="1"/>
    <col min="45" max="45" width="32.140625" style="1" customWidth="1"/>
    <col min="46" max="46" width="37.42578125" style="18" customWidth="1"/>
    <col min="47" max="47" width="32.5703125" style="1" customWidth="1"/>
    <col min="48" max="48" width="30.42578125" style="18" customWidth="1"/>
    <col min="49" max="52" width="30.42578125" style="1" customWidth="1"/>
    <col min="53" max="53" width="20.5703125" style="1" customWidth="1"/>
    <col min="54" max="54" width="31" style="1" customWidth="1"/>
    <col min="55" max="16384" width="8.5703125" style="1"/>
  </cols>
  <sheetData>
    <row r="1" spans="1:39" ht="13.5" thickBot="1">
      <c r="A1" s="19" t="s">
        <v>0</v>
      </c>
      <c r="B1" s="20"/>
    </row>
    <row r="2" spans="1:39" ht="13.5" thickBot="1">
      <c r="A2" s="21" t="s">
        <v>1</v>
      </c>
      <c r="B2" s="22"/>
    </row>
    <row r="3" spans="1:39" ht="13.5" thickBot="1">
      <c r="A3" s="21" t="s">
        <v>2</v>
      </c>
      <c r="B3" s="23" t="s">
        <v>3</v>
      </c>
    </row>
    <row r="4" spans="1:39" ht="13.5" thickBot="1">
      <c r="A4" s="21" t="s">
        <v>4</v>
      </c>
      <c r="B4" s="23" t="s">
        <v>5</v>
      </c>
    </row>
    <row r="5" spans="1:39" ht="13.5" thickBot="1">
      <c r="A5" s="24" t="s">
        <v>6</v>
      </c>
      <c r="B5" s="23" t="s">
        <v>7</v>
      </c>
    </row>
    <row r="6" spans="1:39" ht="13.5" thickBot="1">
      <c r="A6" s="24" t="s">
        <v>8</v>
      </c>
      <c r="B6" s="25">
        <v>8</v>
      </c>
    </row>
    <row r="7" spans="1:39" ht="13.5" thickBot="1">
      <c r="A7" s="26"/>
      <c r="B7" s="27"/>
    </row>
    <row r="8" spans="1:39" ht="14.85" customHeight="1">
      <c r="B8" s="493" t="s">
        <v>9</v>
      </c>
      <c r="C8" s="494"/>
      <c r="D8" s="494"/>
      <c r="E8" s="494"/>
      <c r="F8" s="494"/>
      <c r="G8" s="494"/>
      <c r="H8" s="494"/>
      <c r="I8" s="494"/>
      <c r="J8" s="494"/>
      <c r="K8" s="494"/>
      <c r="L8" s="494"/>
      <c r="M8" s="494"/>
      <c r="N8" s="494"/>
      <c r="O8" s="494"/>
      <c r="P8" s="494"/>
      <c r="Q8" s="494"/>
      <c r="R8" s="494"/>
      <c r="S8" s="494"/>
      <c r="T8" s="494"/>
      <c r="U8" s="494"/>
      <c r="V8" s="494"/>
      <c r="W8" s="494"/>
      <c r="X8" s="494"/>
      <c r="Y8" s="494"/>
      <c r="Z8" s="494"/>
      <c r="AA8" s="494"/>
      <c r="AB8" s="494"/>
      <c r="AC8" s="494"/>
      <c r="AD8" s="494"/>
      <c r="AE8" s="494"/>
      <c r="AF8" s="495"/>
    </row>
    <row r="9" spans="1:39" ht="14.85" customHeight="1">
      <c r="B9" s="496"/>
      <c r="C9" s="497"/>
      <c r="D9" s="497"/>
      <c r="E9" s="497"/>
      <c r="F9" s="497"/>
      <c r="G9" s="497"/>
      <c r="H9" s="497"/>
      <c r="I9" s="497"/>
      <c r="J9" s="497"/>
      <c r="K9" s="497"/>
      <c r="L9" s="497"/>
      <c r="M9" s="497"/>
      <c r="N9" s="497"/>
      <c r="O9" s="497"/>
      <c r="P9" s="497"/>
      <c r="Q9" s="497"/>
      <c r="R9" s="497"/>
      <c r="S9" s="497"/>
      <c r="T9" s="497"/>
      <c r="U9" s="497"/>
      <c r="V9" s="497"/>
      <c r="W9" s="497"/>
      <c r="X9" s="497"/>
      <c r="Y9" s="497"/>
      <c r="Z9" s="497"/>
      <c r="AA9" s="497"/>
      <c r="AB9" s="497"/>
      <c r="AC9" s="497"/>
      <c r="AD9" s="497"/>
      <c r="AE9" s="497"/>
      <c r="AF9" s="498"/>
    </row>
    <row r="10" spans="1:39" ht="15" customHeight="1" thickBot="1">
      <c r="B10" s="499"/>
      <c r="C10" s="500"/>
      <c r="D10" s="500"/>
      <c r="E10" s="500"/>
      <c r="F10" s="500"/>
      <c r="G10" s="500"/>
      <c r="H10" s="500"/>
      <c r="I10" s="500"/>
      <c r="J10" s="500"/>
      <c r="K10" s="500"/>
      <c r="L10" s="500"/>
      <c r="M10" s="500"/>
      <c r="N10" s="500"/>
      <c r="O10" s="500"/>
      <c r="P10" s="500"/>
      <c r="Q10" s="500"/>
      <c r="R10" s="500"/>
      <c r="S10" s="500"/>
      <c r="T10" s="500"/>
      <c r="U10" s="500"/>
      <c r="V10" s="500"/>
      <c r="W10" s="500"/>
      <c r="X10" s="500"/>
      <c r="Y10" s="500"/>
      <c r="Z10" s="500"/>
      <c r="AA10" s="500"/>
      <c r="AB10" s="500"/>
      <c r="AC10" s="500"/>
      <c r="AD10" s="500"/>
      <c r="AE10" s="500"/>
      <c r="AF10" s="501"/>
    </row>
    <row r="11" spans="1:39" ht="15" thickBot="1">
      <c r="B11" s="502" t="s">
        <v>10</v>
      </c>
      <c r="C11" s="502"/>
      <c r="D11" s="502"/>
      <c r="E11" s="502"/>
      <c r="F11" s="502"/>
      <c r="G11" s="502"/>
      <c r="H11" s="502"/>
      <c r="I11" s="502"/>
      <c r="J11" s="502"/>
      <c r="K11" s="502"/>
      <c r="L11" s="502"/>
      <c r="M11" s="502"/>
      <c r="N11" s="502"/>
      <c r="O11" s="502"/>
      <c r="P11" s="502"/>
      <c r="Q11" s="502"/>
      <c r="R11" s="502"/>
      <c r="S11" s="502"/>
      <c r="T11" s="502"/>
      <c r="U11" s="502"/>
      <c r="V11" s="502"/>
      <c r="W11" s="502"/>
      <c r="X11" s="502"/>
      <c r="Y11" s="502"/>
      <c r="Z11" s="502"/>
      <c r="AA11" s="502"/>
      <c r="AB11" s="502"/>
      <c r="AC11" s="502"/>
      <c r="AD11" s="502"/>
      <c r="AE11" s="502"/>
      <c r="AF11" s="502"/>
      <c r="AG11" s="28"/>
      <c r="AH11" s="29"/>
      <c r="AI11" s="28"/>
      <c r="AJ11" s="29"/>
      <c r="AK11" s="28"/>
      <c r="AL11" s="29"/>
      <c r="AM11" s="28"/>
    </row>
    <row r="12" spans="1:39" ht="17.25" customHeight="1" thickBot="1">
      <c r="A12" s="503" t="s">
        <v>190</v>
      </c>
      <c r="B12" s="504"/>
      <c r="C12" s="504"/>
      <c r="D12" s="504"/>
      <c r="E12" s="504"/>
      <c r="F12" s="504"/>
      <c r="G12" s="504"/>
      <c r="H12" s="504"/>
      <c r="I12" s="504"/>
      <c r="J12" s="504"/>
      <c r="K12" s="504"/>
      <c r="L12" s="504"/>
      <c r="M12" s="504"/>
      <c r="N12" s="504"/>
      <c r="O12" s="504"/>
      <c r="P12" s="504"/>
      <c r="Q12" s="504"/>
      <c r="R12" s="504"/>
      <c r="S12" s="504"/>
      <c r="T12" s="504"/>
      <c r="U12" s="504"/>
      <c r="V12" s="504"/>
      <c r="W12" s="504"/>
      <c r="X12" s="504"/>
      <c r="Y12" s="504"/>
      <c r="Z12" s="504"/>
      <c r="AA12" s="504"/>
      <c r="AB12" s="504"/>
      <c r="AC12" s="504"/>
      <c r="AD12" s="504"/>
      <c r="AE12" s="504"/>
      <c r="AF12" s="504"/>
      <c r="AG12" s="490" t="s">
        <v>12</v>
      </c>
      <c r="AH12" s="490" t="s">
        <v>13</v>
      </c>
      <c r="AI12" s="490" t="s">
        <v>14</v>
      </c>
      <c r="AJ12" s="490" t="s">
        <v>15</v>
      </c>
      <c r="AK12" s="490" t="s">
        <v>16</v>
      </c>
      <c r="AL12" s="490" t="s">
        <v>17</v>
      </c>
      <c r="AM12" s="37"/>
    </row>
    <row r="13" spans="1:39" ht="17.25" customHeight="1" thickBot="1">
      <c r="A13" s="30" t="s">
        <v>18</v>
      </c>
      <c r="B13" s="284">
        <v>1</v>
      </c>
      <c r="C13" s="108">
        <v>2</v>
      </c>
      <c r="D13" s="108">
        <v>3</v>
      </c>
      <c r="E13" s="31">
        <v>4</v>
      </c>
      <c r="F13" s="31">
        <v>5</v>
      </c>
      <c r="G13" s="108">
        <v>6</v>
      </c>
      <c r="H13" s="108">
        <v>7</v>
      </c>
      <c r="I13" s="108">
        <v>8</v>
      </c>
      <c r="J13" s="108">
        <v>9</v>
      </c>
      <c r="K13" s="49">
        <v>10</v>
      </c>
      <c r="L13" s="31">
        <v>11</v>
      </c>
      <c r="M13" s="31">
        <v>12</v>
      </c>
      <c r="N13" s="49">
        <v>13</v>
      </c>
      <c r="O13" s="108">
        <v>14</v>
      </c>
      <c r="P13" s="108">
        <v>15</v>
      </c>
      <c r="Q13" s="108">
        <v>16</v>
      </c>
      <c r="R13" s="108">
        <v>17</v>
      </c>
      <c r="S13" s="31">
        <v>18</v>
      </c>
      <c r="T13" s="31">
        <v>19</v>
      </c>
      <c r="U13" s="108">
        <v>20</v>
      </c>
      <c r="V13" s="108">
        <v>21</v>
      </c>
      <c r="W13" s="108">
        <v>22</v>
      </c>
      <c r="X13" s="108">
        <v>23</v>
      </c>
      <c r="Y13" s="108">
        <v>24</v>
      </c>
      <c r="Z13" s="31">
        <v>25</v>
      </c>
      <c r="AA13" s="31">
        <v>26</v>
      </c>
      <c r="AB13" s="108">
        <v>27</v>
      </c>
      <c r="AC13" s="108">
        <v>28</v>
      </c>
      <c r="AD13" s="108">
        <v>29</v>
      </c>
      <c r="AE13" s="108">
        <v>30</v>
      </c>
      <c r="AF13" s="169"/>
      <c r="AG13" s="491"/>
      <c r="AH13" s="505"/>
      <c r="AI13" s="491"/>
      <c r="AJ13" s="491"/>
      <c r="AK13" s="491"/>
      <c r="AL13" s="491"/>
      <c r="AM13" s="38"/>
    </row>
    <row r="14" spans="1:39" ht="17.25" customHeight="1" thickBot="1">
      <c r="A14" s="32" t="s">
        <v>19</v>
      </c>
      <c r="B14" s="34" t="s">
        <v>26</v>
      </c>
      <c r="C14" s="34" t="s">
        <v>20</v>
      </c>
      <c r="D14" s="34" t="s">
        <v>21</v>
      </c>
      <c r="E14" s="33" t="s">
        <v>22</v>
      </c>
      <c r="F14" s="33" t="s">
        <v>23</v>
      </c>
      <c r="G14" s="34" t="s">
        <v>24</v>
      </c>
      <c r="H14" s="34" t="s">
        <v>25</v>
      </c>
      <c r="I14" s="34" t="s">
        <v>26</v>
      </c>
      <c r="J14" s="34" t="s">
        <v>20</v>
      </c>
      <c r="K14" s="50" t="s">
        <v>21</v>
      </c>
      <c r="L14" s="33" t="s">
        <v>22</v>
      </c>
      <c r="M14" s="33" t="s">
        <v>23</v>
      </c>
      <c r="N14" s="50" t="s">
        <v>24</v>
      </c>
      <c r="O14" s="34" t="s">
        <v>25</v>
      </c>
      <c r="P14" s="34" t="s">
        <v>26</v>
      </c>
      <c r="Q14" s="34" t="s">
        <v>20</v>
      </c>
      <c r="R14" s="34" t="s">
        <v>21</v>
      </c>
      <c r="S14" s="33" t="s">
        <v>22</v>
      </c>
      <c r="T14" s="33" t="s">
        <v>23</v>
      </c>
      <c r="U14" s="34" t="s">
        <v>24</v>
      </c>
      <c r="V14" s="34" t="s">
        <v>25</v>
      </c>
      <c r="W14" s="34" t="s">
        <v>26</v>
      </c>
      <c r="X14" s="34" t="s">
        <v>20</v>
      </c>
      <c r="Y14" s="34" t="s">
        <v>21</v>
      </c>
      <c r="Z14" s="33" t="s">
        <v>22</v>
      </c>
      <c r="AA14" s="33" t="s">
        <v>23</v>
      </c>
      <c r="AB14" s="34" t="s">
        <v>24</v>
      </c>
      <c r="AC14" s="34" t="s">
        <v>25</v>
      </c>
      <c r="AD14" s="34" t="s">
        <v>26</v>
      </c>
      <c r="AE14" s="34" t="s">
        <v>20</v>
      </c>
      <c r="AF14" s="171"/>
      <c r="AG14" s="491"/>
      <c r="AH14" s="506"/>
      <c r="AI14" s="491"/>
      <c r="AJ14" s="491"/>
      <c r="AK14" s="491"/>
      <c r="AL14" s="491"/>
      <c r="AM14" s="38"/>
    </row>
    <row r="15" spans="1:39" ht="17.25" customHeight="1">
      <c r="A15" s="35" t="s">
        <v>27</v>
      </c>
      <c r="B15" s="285">
        <f t="shared" ref="B15:AE15" si="0">8-SUM(B16:B16)</f>
        <v>3</v>
      </c>
      <c r="C15" s="109" t="s">
        <v>5</v>
      </c>
      <c r="D15" s="109">
        <f t="shared" si="0"/>
        <v>2</v>
      </c>
      <c r="E15" s="51"/>
      <c r="F15" s="51"/>
      <c r="G15" s="109">
        <f t="shared" si="0"/>
        <v>4</v>
      </c>
      <c r="H15" s="109">
        <f t="shared" si="0"/>
        <v>0</v>
      </c>
      <c r="I15" s="109" t="s">
        <v>5</v>
      </c>
      <c r="J15" s="109" t="s">
        <v>5</v>
      </c>
      <c r="K15" s="93"/>
      <c r="L15" s="51"/>
      <c r="M15" s="51"/>
      <c r="N15" s="93"/>
      <c r="O15" s="109">
        <f t="shared" si="0"/>
        <v>8</v>
      </c>
      <c r="P15" s="109">
        <f t="shared" si="0"/>
        <v>6</v>
      </c>
      <c r="Q15" s="109">
        <f t="shared" si="0"/>
        <v>8</v>
      </c>
      <c r="R15" s="109">
        <f t="shared" si="0"/>
        <v>8</v>
      </c>
      <c r="S15" s="51"/>
      <c r="T15" s="51"/>
      <c r="U15" s="109">
        <f t="shared" si="0"/>
        <v>4</v>
      </c>
      <c r="V15" s="109">
        <f t="shared" si="0"/>
        <v>2</v>
      </c>
      <c r="W15" s="109">
        <f t="shared" si="0"/>
        <v>4</v>
      </c>
      <c r="X15" s="109">
        <f t="shared" si="0"/>
        <v>4</v>
      </c>
      <c r="Y15" s="109">
        <f t="shared" si="0"/>
        <v>0</v>
      </c>
      <c r="Z15" s="51"/>
      <c r="AA15" s="51"/>
      <c r="AB15" s="109">
        <f t="shared" si="0"/>
        <v>0</v>
      </c>
      <c r="AC15" s="109">
        <f t="shared" si="0"/>
        <v>8</v>
      </c>
      <c r="AD15" s="109">
        <f t="shared" si="0"/>
        <v>8</v>
      </c>
      <c r="AE15" s="109">
        <f t="shared" si="0"/>
        <v>6</v>
      </c>
      <c r="AF15" s="172"/>
      <c r="AG15" s="52">
        <f>SUM(B15:AF15)+COUNTIF(B15:AF15, "DE")*4</f>
        <v>75</v>
      </c>
      <c r="AH15" s="53">
        <f>AG15/8</f>
        <v>9.375</v>
      </c>
      <c r="AI15" s="53">
        <f>COUNTIF(B15:AF15, "CO")*4</f>
        <v>12</v>
      </c>
      <c r="AJ15" s="53">
        <f>AI15/8</f>
        <v>1.5</v>
      </c>
      <c r="AK15" s="53">
        <f>COUNTIF(B15:AF15, "CM")*8</f>
        <v>0</v>
      </c>
      <c r="AL15" s="54">
        <f>AK15/8</f>
        <v>0</v>
      </c>
      <c r="AM15" s="39"/>
    </row>
    <row r="16" spans="1:39" ht="29.85" customHeight="1" thickBot="1">
      <c r="A16" s="35" t="s">
        <v>28</v>
      </c>
      <c r="B16" s="286">
        <f>SUMIFS($AL$58:$AL$87,$A$58:$A$87,"="&amp;DATE(2026,4,B13))</f>
        <v>5</v>
      </c>
      <c r="C16" s="110" t="s">
        <v>5</v>
      </c>
      <c r="D16" s="110">
        <f>SUMIFS($AL$58:$AL$87,$A$58:$A$87,"="&amp;DATE(2026,4,D13))</f>
        <v>6</v>
      </c>
      <c r="E16" s="55"/>
      <c r="F16" s="55"/>
      <c r="G16" s="110">
        <f>SUMIFS($AL$58:$AL$87,$A$58:$A$87,"="&amp;DATE(2026,4,G13))</f>
        <v>4</v>
      </c>
      <c r="H16" s="110">
        <f>SUMIFS($AL$58:$AL$87,$A$58:$A$87,"="&amp;DATE(2026,4,H13))</f>
        <v>8</v>
      </c>
      <c r="I16" s="110" t="s">
        <v>5</v>
      </c>
      <c r="J16" s="110" t="s">
        <v>5</v>
      </c>
      <c r="K16" s="94"/>
      <c r="L16" s="55"/>
      <c r="M16" s="55"/>
      <c r="N16" s="94"/>
      <c r="O16" s="110">
        <f>SUMIFS($AL$58:$AL$87,$A$58:$A$87,"="&amp;DATE(2026,4,O13))</f>
        <v>0</v>
      </c>
      <c r="P16" s="110">
        <f>SUMIFS($AL$58:$AL$87,$A$58:$A$87,"="&amp;DATE(2026,4,P13))</f>
        <v>2</v>
      </c>
      <c r="Q16" s="110">
        <f>SUMIFS($AL$58:$AL$87,$A$58:$A$87,"="&amp;DATE(2026,4,Q13))</f>
        <v>0</v>
      </c>
      <c r="R16" s="110">
        <f>SUMIFS($AL$58:$AL$87,$A$58:$A$87,"="&amp;DATE(2026,4,R13))</f>
        <v>0</v>
      </c>
      <c r="S16" s="55"/>
      <c r="T16" s="55"/>
      <c r="U16" s="110">
        <f>SUMIFS($AL$58:$AL$87,$A$58:$A$87,"="&amp;DATE(2026,4,U13))</f>
        <v>4</v>
      </c>
      <c r="V16" s="110">
        <f>SUMIFS($AL$58:$AL$87,$A$58:$A$87,"="&amp;DATE(2026,4,V13))</f>
        <v>6</v>
      </c>
      <c r="W16" s="110">
        <f>SUMIFS($AL$58:$AL$87,$A$58:$A$87,"="&amp;DATE(2026,4,W13))</f>
        <v>4</v>
      </c>
      <c r="X16" s="110">
        <f>SUMIFS($AL$58:$AL$87,$A$58:$A$87,"="&amp;DATE(2026,4,X13))</f>
        <v>4</v>
      </c>
      <c r="Y16" s="110">
        <f>SUMIFS($AL$58:$AL$87,$A$58:$A$87,"="&amp;DATE(2026,4,Y13))</f>
        <v>8</v>
      </c>
      <c r="Z16" s="55"/>
      <c r="AA16" s="55"/>
      <c r="AB16" s="110">
        <f>SUMIFS($AL$58:$AL$87,$A$58:$A$87,"="&amp;DATE(2026,4,AB13))</f>
        <v>8</v>
      </c>
      <c r="AC16" s="110">
        <f>SUMIFS($AL$58:$AL$87,$A$58:$A$87,"="&amp;DATE(2026,4,AC13))</f>
        <v>0</v>
      </c>
      <c r="AD16" s="110">
        <f>SUMIFS($AL$58:$AL$87,$A$58:$A$87,"="&amp;DATE(2026,4,AD13))</f>
        <v>0</v>
      </c>
      <c r="AE16" s="110">
        <f>SUMIFS($AL$58:$AL$87,$A$58:$A$87,"="&amp;DATE(2026,4,AE13))</f>
        <v>2</v>
      </c>
      <c r="AF16" s="173"/>
      <c r="AG16" s="56">
        <f>SUM(B16:AF16)+COUNTIF(B16:AF16, "DE")*4</f>
        <v>61</v>
      </c>
      <c r="AH16" s="57">
        <f>AG16/8</f>
        <v>7.625</v>
      </c>
      <c r="AI16" s="57">
        <f>COUNTIF(B16:AF16, "CO")*4</f>
        <v>12</v>
      </c>
      <c r="AJ16" s="57">
        <f>AI16/8</f>
        <v>1.5</v>
      </c>
      <c r="AK16" s="57">
        <f>COUNTIF(B16:AF16, "CM")*8</f>
        <v>0</v>
      </c>
      <c r="AL16" s="58">
        <f>AK16/8</f>
        <v>0</v>
      </c>
      <c r="AM16" s="39"/>
    </row>
    <row r="17" spans="1:39" ht="17.25" customHeight="1" thickBot="1">
      <c r="A17" s="36" t="s">
        <v>29</v>
      </c>
      <c r="B17" s="287">
        <f t="shared" ref="B17:AE17" si="1">SUM(B15:B16)</f>
        <v>8</v>
      </c>
      <c r="C17" s="59">
        <f t="shared" si="1"/>
        <v>0</v>
      </c>
      <c r="D17" s="59">
        <f t="shared" si="1"/>
        <v>8</v>
      </c>
      <c r="E17" s="60"/>
      <c r="F17" s="60"/>
      <c r="G17" s="59">
        <f t="shared" si="1"/>
        <v>8</v>
      </c>
      <c r="H17" s="59">
        <f t="shared" si="1"/>
        <v>8</v>
      </c>
      <c r="I17" s="59">
        <f t="shared" si="1"/>
        <v>0</v>
      </c>
      <c r="J17" s="59">
        <f t="shared" si="1"/>
        <v>0</v>
      </c>
      <c r="K17" s="95"/>
      <c r="L17" s="60"/>
      <c r="M17" s="60"/>
      <c r="N17" s="95"/>
      <c r="O17" s="59">
        <f t="shared" si="1"/>
        <v>8</v>
      </c>
      <c r="P17" s="59">
        <f t="shared" si="1"/>
        <v>8</v>
      </c>
      <c r="Q17" s="59">
        <f t="shared" si="1"/>
        <v>8</v>
      </c>
      <c r="R17" s="59">
        <f t="shared" si="1"/>
        <v>8</v>
      </c>
      <c r="S17" s="60"/>
      <c r="T17" s="60"/>
      <c r="U17" s="59">
        <f t="shared" si="1"/>
        <v>8</v>
      </c>
      <c r="V17" s="59">
        <f t="shared" si="1"/>
        <v>8</v>
      </c>
      <c r="W17" s="59">
        <f t="shared" si="1"/>
        <v>8</v>
      </c>
      <c r="X17" s="59">
        <f t="shared" si="1"/>
        <v>8</v>
      </c>
      <c r="Y17" s="59">
        <f t="shared" si="1"/>
        <v>8</v>
      </c>
      <c r="Z17" s="60"/>
      <c r="AA17" s="60"/>
      <c r="AB17" s="59">
        <f t="shared" si="1"/>
        <v>8</v>
      </c>
      <c r="AC17" s="59">
        <f t="shared" si="1"/>
        <v>8</v>
      </c>
      <c r="AD17" s="59">
        <f t="shared" si="1"/>
        <v>8</v>
      </c>
      <c r="AE17" s="59">
        <f t="shared" si="1"/>
        <v>8</v>
      </c>
      <c r="AF17" s="174"/>
      <c r="AG17" s="61">
        <f t="shared" ref="AG17:AL17" si="2">SUM(AG15:AG16)</f>
        <v>136</v>
      </c>
      <c r="AH17" s="62">
        <f t="shared" si="2"/>
        <v>17</v>
      </c>
      <c r="AI17" s="62">
        <f t="shared" si="2"/>
        <v>24</v>
      </c>
      <c r="AJ17" s="62">
        <f t="shared" si="2"/>
        <v>3</v>
      </c>
      <c r="AK17" s="62">
        <f t="shared" si="2"/>
        <v>0</v>
      </c>
      <c r="AL17" s="63">
        <f t="shared" si="2"/>
        <v>0</v>
      </c>
      <c r="AM17" s="39"/>
    </row>
    <row r="18" spans="1:39" ht="12.95"/>
    <row r="19" spans="1:39" ht="12.95">
      <c r="A19" s="2"/>
      <c r="I19" s="492" t="s">
        <v>30</v>
      </c>
      <c r="J19" s="492"/>
      <c r="K19" s="492"/>
      <c r="L19" s="492"/>
      <c r="M19" s="492"/>
      <c r="N19" s="492"/>
      <c r="O19" s="492"/>
      <c r="P19" s="483" t="s">
        <v>31</v>
      </c>
      <c r="Q19" s="483"/>
      <c r="R19" s="483"/>
      <c r="S19" s="483"/>
      <c r="T19" s="483"/>
      <c r="U19" s="483"/>
      <c r="V19" s="483"/>
    </row>
    <row r="20" spans="1:39" ht="12.95"/>
    <row r="21" spans="1:39" ht="12.95">
      <c r="I21" s="482" t="s">
        <v>32</v>
      </c>
      <c r="J21" s="482"/>
      <c r="K21" s="482"/>
      <c r="L21" s="482"/>
      <c r="M21" s="482"/>
      <c r="N21" s="482"/>
      <c r="O21" s="482"/>
      <c r="P21" s="483"/>
      <c r="Q21" s="483"/>
      <c r="R21" s="483"/>
      <c r="S21" s="483"/>
      <c r="T21" s="483"/>
      <c r="U21" s="483"/>
      <c r="V21" s="483"/>
    </row>
    <row r="22" spans="1:39" ht="12.95">
      <c r="I22" s="2"/>
      <c r="J22" s="2"/>
      <c r="K22" s="2"/>
      <c r="L22" s="2"/>
      <c r="M22" s="2"/>
      <c r="N22" s="2"/>
      <c r="O22" s="2"/>
    </row>
    <row r="23" spans="1:39" ht="12.95">
      <c r="I23" s="2"/>
      <c r="J23" s="2"/>
      <c r="K23" s="2"/>
      <c r="L23" s="2"/>
      <c r="M23" s="2"/>
      <c r="N23" s="2"/>
      <c r="O23" s="2"/>
    </row>
    <row r="24" spans="1:39" ht="12.95">
      <c r="I24" s="492" t="s">
        <v>33</v>
      </c>
      <c r="J24" s="492"/>
      <c r="K24" s="492"/>
      <c r="L24" s="492"/>
      <c r="M24" s="492"/>
      <c r="N24" s="492"/>
      <c r="O24" s="492"/>
      <c r="P24" s="483" t="s">
        <v>31</v>
      </c>
      <c r="Q24" s="483"/>
      <c r="R24" s="483"/>
      <c r="S24" s="483"/>
      <c r="T24" s="483"/>
      <c r="U24" s="483"/>
      <c r="V24" s="483"/>
    </row>
    <row r="25" spans="1:39" ht="12.95">
      <c r="I25" s="482" t="s">
        <v>34</v>
      </c>
      <c r="J25" s="482"/>
      <c r="K25" s="482"/>
      <c r="L25" s="482"/>
      <c r="M25" s="482"/>
      <c r="N25" s="482"/>
      <c r="O25" s="482"/>
      <c r="P25" s="483"/>
      <c r="Q25" s="483"/>
      <c r="R25" s="483"/>
      <c r="S25" s="483"/>
      <c r="T25" s="483"/>
      <c r="U25" s="483"/>
      <c r="V25" s="483"/>
    </row>
    <row r="26" spans="1:39" ht="12.95">
      <c r="I26" s="482" t="s">
        <v>35</v>
      </c>
      <c r="J26" s="482"/>
      <c r="K26" s="482"/>
      <c r="L26" s="482"/>
      <c r="M26" s="482"/>
      <c r="N26" s="482"/>
      <c r="O26" s="482"/>
      <c r="P26" s="483"/>
      <c r="Q26" s="483"/>
      <c r="R26" s="483"/>
      <c r="S26" s="483"/>
      <c r="T26" s="483"/>
      <c r="U26" s="483"/>
      <c r="V26" s="483"/>
    </row>
    <row r="27" spans="1:39" ht="12.95">
      <c r="I27" s="482" t="s">
        <v>32</v>
      </c>
      <c r="J27" s="482"/>
      <c r="K27" s="482"/>
      <c r="L27" s="482"/>
      <c r="M27" s="482"/>
      <c r="N27" s="482"/>
      <c r="O27" s="482"/>
      <c r="P27" s="483"/>
      <c r="Q27" s="483"/>
      <c r="R27" s="483"/>
      <c r="S27" s="483"/>
      <c r="T27" s="483"/>
      <c r="U27" s="483"/>
      <c r="V27" s="483"/>
    </row>
    <row r="28" spans="1:39" ht="12.95">
      <c r="I28" s="4"/>
      <c r="J28" s="4"/>
      <c r="K28" s="4"/>
      <c r="L28" s="4"/>
      <c r="M28" s="4"/>
      <c r="N28" s="4"/>
      <c r="O28" s="4"/>
      <c r="P28" s="2"/>
      <c r="Q28" s="2"/>
      <c r="R28" s="2"/>
      <c r="S28" s="2"/>
      <c r="T28" s="2"/>
      <c r="U28" s="2"/>
      <c r="V28" s="2"/>
      <c r="AC28" s="1" t="s">
        <v>36</v>
      </c>
    </row>
    <row r="29" spans="1:39" ht="12.95">
      <c r="I29" s="4"/>
      <c r="J29" s="4"/>
      <c r="K29" s="4"/>
      <c r="L29" s="4"/>
      <c r="M29" s="4"/>
      <c r="N29" s="4"/>
      <c r="O29" s="4"/>
      <c r="P29" s="2"/>
      <c r="Q29" s="2"/>
      <c r="R29" s="2"/>
      <c r="S29" s="2"/>
      <c r="T29" s="2"/>
      <c r="U29" s="2"/>
      <c r="V29" s="2"/>
    </row>
    <row r="30" spans="1:39" ht="12.95">
      <c r="I30" s="4"/>
      <c r="J30" s="4"/>
      <c r="K30" s="4"/>
      <c r="L30" s="4"/>
      <c r="M30" s="4"/>
      <c r="N30" s="4"/>
      <c r="O30" s="4"/>
      <c r="P30" s="2"/>
      <c r="Q30" s="2"/>
      <c r="R30" s="2"/>
      <c r="S30" s="2"/>
      <c r="T30" s="2"/>
      <c r="U30" s="2"/>
      <c r="V30" s="2"/>
    </row>
    <row r="31" spans="1:39" ht="12.95">
      <c r="I31" s="4"/>
      <c r="J31" s="4"/>
      <c r="K31" s="4"/>
      <c r="L31" s="4"/>
      <c r="M31" s="4"/>
      <c r="N31" s="4"/>
      <c r="O31" s="4"/>
      <c r="P31" s="2"/>
      <c r="Q31" s="2"/>
      <c r="R31" s="2"/>
      <c r="S31" s="2"/>
      <c r="T31" s="2"/>
      <c r="U31" s="2"/>
      <c r="V31" s="2"/>
    </row>
    <row r="32" spans="1:39" ht="12.95">
      <c r="I32" s="4"/>
      <c r="J32" s="4"/>
      <c r="K32" s="4"/>
      <c r="L32" s="4"/>
      <c r="M32" s="4"/>
      <c r="N32" s="4"/>
      <c r="O32" s="4"/>
      <c r="P32" s="2"/>
      <c r="Q32" s="2"/>
      <c r="R32" s="2"/>
      <c r="S32" s="2"/>
      <c r="T32" s="2"/>
      <c r="U32" s="2"/>
      <c r="V32" s="2"/>
    </row>
    <row r="33" spans="1:39" ht="12.95">
      <c r="I33" s="4"/>
      <c r="J33" s="4"/>
      <c r="K33" s="4"/>
      <c r="L33" s="4"/>
      <c r="M33" s="4"/>
      <c r="N33" s="4"/>
      <c r="O33" s="4"/>
      <c r="P33" s="2"/>
      <c r="Q33" s="2"/>
      <c r="R33" s="2"/>
      <c r="S33" s="2"/>
      <c r="T33" s="2"/>
      <c r="U33" s="2"/>
      <c r="V33" s="2"/>
    </row>
    <row r="34" spans="1:39" ht="12.95">
      <c r="I34" s="4"/>
      <c r="J34" s="4"/>
      <c r="K34" s="4"/>
      <c r="L34" s="4"/>
      <c r="M34" s="4"/>
      <c r="N34" s="4"/>
      <c r="O34" s="4"/>
      <c r="P34" s="2"/>
      <c r="Q34" s="2"/>
      <c r="R34" s="2"/>
      <c r="S34" s="2"/>
      <c r="T34" s="2"/>
      <c r="U34" s="2"/>
      <c r="V34" s="2"/>
    </row>
    <row r="35" spans="1:39" ht="12.95">
      <c r="I35" s="4"/>
      <c r="J35" s="4"/>
      <c r="K35" s="4"/>
      <c r="L35" s="4"/>
      <c r="M35" s="4"/>
      <c r="N35" s="4"/>
      <c r="O35" s="4"/>
      <c r="P35" s="2"/>
      <c r="Q35" s="2"/>
      <c r="R35" s="2"/>
      <c r="S35" s="2"/>
      <c r="T35" s="2"/>
      <c r="U35" s="2"/>
      <c r="V35" s="2"/>
    </row>
    <row r="36" spans="1:39" ht="12.95">
      <c r="I36" s="4"/>
      <c r="J36" s="4"/>
      <c r="K36" s="4"/>
      <c r="L36" s="4"/>
      <c r="M36" s="4"/>
      <c r="N36" s="4"/>
      <c r="O36" s="4"/>
      <c r="P36" s="2"/>
      <c r="Q36" s="2"/>
      <c r="R36" s="2"/>
      <c r="S36" s="2"/>
      <c r="T36" s="2"/>
      <c r="U36" s="2"/>
      <c r="V36" s="2"/>
    </row>
    <row r="37" spans="1:39" ht="12.95">
      <c r="I37" s="4"/>
      <c r="J37" s="4"/>
      <c r="K37" s="4"/>
      <c r="L37" s="4"/>
      <c r="M37" s="4"/>
      <c r="N37" s="4"/>
      <c r="O37" s="4"/>
      <c r="P37" s="2"/>
      <c r="Q37" s="2"/>
      <c r="R37" s="2"/>
      <c r="S37" s="2"/>
      <c r="T37" s="2"/>
      <c r="U37" s="2"/>
      <c r="V37" s="2"/>
    </row>
    <row r="38" spans="1:39" ht="12.95">
      <c r="I38" s="4"/>
      <c r="J38" s="4"/>
      <c r="K38" s="4"/>
      <c r="L38" s="4"/>
      <c r="M38" s="4"/>
      <c r="N38" s="4"/>
      <c r="O38" s="4"/>
      <c r="P38" s="2"/>
      <c r="Q38" s="2"/>
      <c r="R38" s="2"/>
      <c r="S38" s="2"/>
      <c r="T38" s="2"/>
      <c r="U38" s="2"/>
      <c r="V38" s="2"/>
    </row>
    <row r="39" spans="1:39" ht="12.95">
      <c r="I39" s="4"/>
      <c r="J39" s="4"/>
      <c r="K39" s="4"/>
      <c r="L39" s="4"/>
      <c r="M39" s="4"/>
      <c r="N39" s="4"/>
      <c r="O39" s="4"/>
      <c r="P39" s="2"/>
      <c r="Q39" s="2"/>
      <c r="R39" s="2"/>
      <c r="S39" s="2"/>
      <c r="T39" s="2"/>
      <c r="U39" s="2"/>
      <c r="V39" s="2"/>
    </row>
    <row r="40" spans="1:39" ht="12.95">
      <c r="I40" s="4"/>
      <c r="J40" s="4"/>
      <c r="K40" s="4"/>
      <c r="L40" s="4"/>
      <c r="M40" s="4"/>
      <c r="N40" s="4"/>
      <c r="O40" s="4"/>
      <c r="P40" s="2"/>
      <c r="Q40" s="2"/>
      <c r="R40" s="2"/>
      <c r="S40" s="2"/>
      <c r="T40" s="2"/>
      <c r="U40" s="2"/>
      <c r="V40" s="2"/>
    </row>
    <row r="41" spans="1:39" ht="12.95">
      <c r="I41" s="4"/>
      <c r="J41" s="4"/>
      <c r="K41" s="4"/>
      <c r="L41" s="4"/>
      <c r="M41" s="4"/>
      <c r="N41" s="4"/>
      <c r="O41" s="4"/>
      <c r="P41" s="2"/>
      <c r="Q41" s="2"/>
      <c r="R41" s="2"/>
      <c r="S41" s="2"/>
      <c r="T41" s="2"/>
      <c r="U41" s="2"/>
      <c r="V41" s="2"/>
    </row>
    <row r="42" spans="1:39" ht="12.95">
      <c r="I42" s="4"/>
      <c r="J42" s="4"/>
      <c r="K42" s="4"/>
      <c r="L42" s="4"/>
      <c r="M42" s="4"/>
      <c r="N42" s="4"/>
      <c r="O42" s="4"/>
      <c r="P42" s="2"/>
      <c r="Q42" s="2"/>
      <c r="R42" s="2"/>
      <c r="S42" s="2"/>
      <c r="T42" s="2"/>
      <c r="U42" s="2"/>
      <c r="V42" s="2"/>
    </row>
    <row r="43" spans="1:39" ht="12.95">
      <c r="I43" s="4"/>
      <c r="J43" s="4"/>
      <c r="K43" s="4"/>
      <c r="L43" s="4"/>
      <c r="M43" s="4"/>
      <c r="N43" s="4"/>
      <c r="O43" s="4"/>
      <c r="P43" s="2"/>
      <c r="Q43" s="2"/>
      <c r="R43" s="2"/>
      <c r="S43" s="2"/>
      <c r="T43" s="2"/>
      <c r="U43" s="2"/>
      <c r="V43" s="2"/>
    </row>
    <row r="44" spans="1:39" ht="12.95">
      <c r="I44" s="4"/>
      <c r="J44" s="4"/>
      <c r="K44" s="4"/>
      <c r="L44" s="4"/>
      <c r="M44" s="4"/>
      <c r="N44" s="4"/>
      <c r="O44" s="4"/>
      <c r="P44" s="2"/>
      <c r="Q44" s="2"/>
      <c r="R44" s="2"/>
      <c r="S44" s="2"/>
      <c r="T44" s="2"/>
      <c r="U44" s="2"/>
      <c r="V44" s="2"/>
    </row>
    <row r="45" spans="1:39" ht="13.5" thickBot="1">
      <c r="I45" s="4"/>
      <c r="J45" s="4"/>
      <c r="K45" s="4"/>
      <c r="L45" s="4"/>
      <c r="M45" s="4"/>
      <c r="N45" s="4"/>
      <c r="O45" s="4"/>
      <c r="P45" s="2"/>
      <c r="Q45" s="2"/>
      <c r="R45" s="2"/>
      <c r="S45" s="2"/>
      <c r="T45" s="2"/>
      <c r="U45" s="2"/>
      <c r="V45" s="2"/>
    </row>
    <row r="46" spans="1:39" ht="12.95">
      <c r="A46" s="218"/>
      <c r="B46" s="219"/>
      <c r="C46" s="219"/>
      <c r="D46" s="219"/>
      <c r="E46" s="219"/>
      <c r="F46" s="219"/>
      <c r="G46" s="219"/>
      <c r="H46" s="219"/>
      <c r="I46" s="220"/>
      <c r="J46" s="220"/>
      <c r="K46" s="220"/>
      <c r="L46" s="220"/>
      <c r="M46" s="220"/>
      <c r="N46" s="220"/>
      <c r="O46" s="220"/>
      <c r="P46" s="221"/>
      <c r="Q46" s="221"/>
      <c r="R46" s="221"/>
      <c r="S46" s="221"/>
      <c r="T46" s="221"/>
      <c r="U46" s="221"/>
      <c r="V46" s="221"/>
      <c r="W46" s="219"/>
      <c r="X46" s="219"/>
      <c r="Y46" s="219"/>
      <c r="Z46" s="219"/>
      <c r="AA46" s="219"/>
      <c r="AB46" s="219"/>
      <c r="AC46" s="219"/>
      <c r="AD46" s="219"/>
      <c r="AE46" s="219"/>
      <c r="AF46" s="219"/>
      <c r="AG46" s="219"/>
      <c r="AH46" s="219"/>
      <c r="AI46" s="219"/>
      <c r="AJ46" s="219"/>
      <c r="AK46" s="219"/>
      <c r="AL46" s="219"/>
      <c r="AM46" s="222"/>
    </row>
    <row r="47" spans="1:39" ht="12.95">
      <c r="A47" s="223"/>
      <c r="B47" s="224"/>
      <c r="C47" s="224"/>
      <c r="D47" s="224"/>
      <c r="E47" s="224"/>
      <c r="F47" s="224"/>
      <c r="G47" s="224"/>
      <c r="H47" s="224"/>
      <c r="I47" s="225"/>
      <c r="J47" s="225"/>
      <c r="K47" s="225"/>
      <c r="L47" s="225"/>
      <c r="M47" s="225"/>
      <c r="N47" s="225"/>
      <c r="O47" s="225"/>
      <c r="P47" s="226"/>
      <c r="Q47" s="226"/>
      <c r="R47" s="226"/>
      <c r="S47" s="226"/>
      <c r="T47" s="226"/>
      <c r="U47" s="226"/>
      <c r="V47" s="226"/>
      <c r="W47" s="224"/>
      <c r="X47" s="224"/>
      <c r="Y47" s="224"/>
      <c r="Z47" s="224"/>
      <c r="AA47" s="224"/>
      <c r="AB47" s="224"/>
      <c r="AC47" s="224"/>
      <c r="AD47" s="224"/>
      <c r="AE47" s="224"/>
      <c r="AF47" s="224"/>
      <c r="AG47" s="224"/>
      <c r="AH47" s="224"/>
      <c r="AI47" s="224"/>
      <c r="AJ47" s="224"/>
      <c r="AK47" s="224"/>
      <c r="AL47" s="224"/>
      <c r="AM47" s="227"/>
    </row>
    <row r="48" spans="1:39" ht="12.75" customHeight="1">
      <c r="A48" s="223"/>
      <c r="B48" s="224"/>
      <c r="C48" s="224"/>
      <c r="D48" s="224"/>
      <c r="E48" s="224"/>
      <c r="F48" s="224"/>
      <c r="G48" s="224"/>
      <c r="H48" s="224"/>
      <c r="I48" s="224"/>
      <c r="J48" s="224"/>
      <c r="K48" s="224"/>
      <c r="L48" s="224"/>
      <c r="M48" s="224"/>
      <c r="N48" s="224"/>
      <c r="O48" s="224"/>
      <c r="P48" s="224"/>
      <c r="Q48" s="224"/>
      <c r="R48" s="224"/>
      <c r="S48" s="224"/>
      <c r="T48" s="224"/>
      <c r="U48" s="224"/>
      <c r="V48" s="224"/>
      <c r="W48" s="224"/>
      <c r="X48" s="224"/>
      <c r="Y48" s="224"/>
      <c r="Z48" s="224"/>
      <c r="AA48" s="224"/>
      <c r="AB48" s="224"/>
      <c r="AC48" s="224"/>
      <c r="AD48" s="224"/>
      <c r="AE48" s="224"/>
      <c r="AF48" s="224"/>
      <c r="AG48" s="224"/>
      <c r="AH48" s="224"/>
      <c r="AI48" s="224"/>
      <c r="AJ48" s="224"/>
      <c r="AK48" s="224"/>
      <c r="AL48" s="224"/>
      <c r="AM48" s="227"/>
    </row>
    <row r="49" spans="1:54" ht="14.1" customHeight="1">
      <c r="A49" s="223"/>
      <c r="B49" s="224"/>
      <c r="C49" s="224"/>
      <c r="D49" s="224"/>
      <c r="E49" s="224"/>
      <c r="F49" s="224"/>
      <c r="G49" s="224"/>
      <c r="H49" s="224"/>
      <c r="I49" s="224"/>
      <c r="J49" s="224"/>
      <c r="K49" s="224"/>
      <c r="L49" s="224"/>
      <c r="M49" s="224"/>
      <c r="N49" s="224"/>
      <c r="O49" s="224"/>
      <c r="P49" s="224"/>
      <c r="Q49" s="224"/>
      <c r="R49" s="224"/>
      <c r="S49" s="224"/>
      <c r="T49" s="224"/>
      <c r="U49" s="224"/>
      <c r="V49" s="224"/>
      <c r="W49" s="224"/>
      <c r="X49" s="224"/>
      <c r="Y49" s="224"/>
      <c r="Z49" s="224"/>
      <c r="AA49" s="224"/>
      <c r="AB49" s="224"/>
      <c r="AC49" s="224"/>
      <c r="AD49" s="224"/>
      <c r="AE49" s="224"/>
      <c r="AF49" s="224"/>
      <c r="AG49" s="224"/>
      <c r="AH49" s="224"/>
      <c r="AI49" s="224"/>
      <c r="AJ49" s="224"/>
      <c r="AK49" s="224"/>
      <c r="AL49" s="224"/>
      <c r="AM49" s="227"/>
    </row>
    <row r="50" spans="1:54" ht="12.75" customHeight="1">
      <c r="A50" s="223"/>
      <c r="B50" s="224"/>
      <c r="C50" s="224"/>
      <c r="D50" s="224"/>
      <c r="E50" s="224"/>
      <c r="F50" s="224"/>
      <c r="G50" s="224"/>
      <c r="H50" s="224"/>
      <c r="I50" s="224"/>
      <c r="J50" s="224"/>
      <c r="K50" s="224"/>
      <c r="L50" s="224"/>
      <c r="M50" s="224"/>
      <c r="N50" s="224"/>
      <c r="O50" s="224"/>
      <c r="P50" s="224"/>
      <c r="Q50" s="224"/>
      <c r="R50" s="224"/>
      <c r="S50" s="224"/>
      <c r="T50" s="224"/>
      <c r="U50" s="224"/>
      <c r="V50" s="224"/>
      <c r="W50" s="224"/>
      <c r="X50" s="224"/>
      <c r="Y50" s="224"/>
      <c r="Z50" s="224"/>
      <c r="AA50" s="224"/>
      <c r="AB50" s="224"/>
      <c r="AC50" s="224"/>
      <c r="AD50" s="224"/>
      <c r="AE50" s="224"/>
      <c r="AF50" s="224"/>
      <c r="AG50" s="224"/>
      <c r="AH50" s="224"/>
      <c r="AI50" s="224"/>
      <c r="AJ50" s="224"/>
      <c r="AK50" s="224"/>
      <c r="AL50" s="224"/>
      <c r="AM50" s="227"/>
    </row>
    <row r="51" spans="1:54" ht="13.5" thickBot="1">
      <c r="A51" s="228"/>
      <c r="B51" s="229"/>
      <c r="C51" s="229"/>
      <c r="D51" s="229"/>
      <c r="E51" s="229"/>
      <c r="F51" s="229"/>
      <c r="G51" s="229"/>
      <c r="H51" s="229"/>
      <c r="I51" s="229"/>
      <c r="J51" s="229"/>
      <c r="K51" s="229"/>
      <c r="L51" s="229"/>
      <c r="M51" s="229"/>
      <c r="N51" s="229"/>
      <c r="O51" s="229"/>
      <c r="P51" s="229"/>
      <c r="Q51" s="229"/>
      <c r="R51" s="229"/>
      <c r="S51" s="229"/>
      <c r="T51" s="229"/>
      <c r="U51" s="229"/>
      <c r="V51" s="229"/>
      <c r="W51" s="229"/>
      <c r="X51" s="229"/>
      <c r="Y51" s="229"/>
      <c r="Z51" s="229"/>
      <c r="AA51" s="229"/>
      <c r="AB51" s="229"/>
      <c r="AC51" s="229"/>
      <c r="AD51" s="229"/>
      <c r="AE51" s="229"/>
      <c r="AF51" s="229"/>
      <c r="AG51" s="229"/>
      <c r="AH51" s="229"/>
      <c r="AI51" s="229"/>
      <c r="AJ51" s="229"/>
      <c r="AK51" s="229"/>
      <c r="AL51" s="229"/>
      <c r="AM51" s="230"/>
    </row>
    <row r="52" spans="1:54" ht="14.1" customHeight="1">
      <c r="A52" s="484" t="s">
        <v>37</v>
      </c>
      <c r="B52" s="485"/>
      <c r="C52" s="485"/>
      <c r="D52" s="485"/>
      <c r="E52" s="485"/>
      <c r="F52" s="486"/>
      <c r="G52" s="487" t="s">
        <v>38</v>
      </c>
      <c r="H52" s="488"/>
      <c r="I52" s="488"/>
      <c r="J52" s="488"/>
      <c r="K52" s="488"/>
      <c r="L52" s="488"/>
      <c r="M52" s="488"/>
      <c r="N52" s="488"/>
      <c r="O52" s="488"/>
      <c r="P52" s="488"/>
      <c r="Q52" s="488"/>
      <c r="R52" s="488"/>
      <c r="S52" s="488"/>
      <c r="T52" s="488"/>
      <c r="U52" s="488"/>
      <c r="V52" s="488"/>
      <c r="W52" s="488"/>
      <c r="X52" s="488"/>
      <c r="Y52" s="488"/>
      <c r="Z52" s="488"/>
      <c r="AA52" s="488"/>
      <c r="AB52" s="488"/>
      <c r="AC52" s="488"/>
      <c r="AD52" s="488"/>
      <c r="AE52" s="488"/>
      <c r="AF52" s="488"/>
      <c r="AG52" s="488"/>
      <c r="AH52" s="488"/>
      <c r="AI52" s="488"/>
      <c r="AJ52" s="488"/>
      <c r="AK52" s="488"/>
      <c r="AL52" s="488"/>
      <c r="AM52" s="489"/>
    </row>
    <row r="53" spans="1:54" ht="14.1" customHeight="1">
      <c r="A53" s="470" t="s">
        <v>39</v>
      </c>
      <c r="B53" s="471"/>
      <c r="C53" s="471"/>
      <c r="D53" s="471"/>
      <c r="E53" s="471"/>
      <c r="F53" s="472"/>
      <c r="G53" s="473" t="s">
        <v>40</v>
      </c>
      <c r="H53" s="474"/>
      <c r="I53" s="474"/>
      <c r="J53" s="474"/>
      <c r="K53" s="474"/>
      <c r="L53" s="474"/>
      <c r="M53" s="474"/>
      <c r="N53" s="474"/>
      <c r="O53" s="474"/>
      <c r="P53" s="474"/>
      <c r="Q53" s="474"/>
      <c r="R53" s="474"/>
      <c r="S53" s="474"/>
      <c r="T53" s="474"/>
      <c r="U53" s="474"/>
      <c r="V53" s="474"/>
      <c r="W53" s="474"/>
      <c r="X53" s="474"/>
      <c r="Y53" s="474"/>
      <c r="Z53" s="474"/>
      <c r="AA53" s="474"/>
      <c r="AB53" s="474"/>
      <c r="AC53" s="474"/>
      <c r="AD53" s="474"/>
      <c r="AE53" s="474"/>
      <c r="AF53" s="474"/>
      <c r="AG53" s="474"/>
      <c r="AH53" s="474"/>
      <c r="AI53" s="474"/>
      <c r="AJ53" s="474"/>
      <c r="AK53" s="474"/>
      <c r="AL53" s="474"/>
      <c r="AM53" s="475"/>
    </row>
    <row r="54" spans="1:54" ht="14.1" customHeight="1">
      <c r="A54" s="470" t="s">
        <v>41</v>
      </c>
      <c r="B54" s="471"/>
      <c r="C54" s="471"/>
      <c r="D54" s="471"/>
      <c r="E54" s="471"/>
      <c r="F54" s="472"/>
      <c r="G54" s="473" t="s">
        <v>42</v>
      </c>
      <c r="H54" s="474"/>
      <c r="I54" s="474"/>
      <c r="J54" s="474"/>
      <c r="K54" s="474"/>
      <c r="L54" s="474"/>
      <c r="M54" s="474"/>
      <c r="N54" s="474"/>
      <c r="O54" s="474"/>
      <c r="P54" s="474"/>
      <c r="Q54" s="474"/>
      <c r="R54" s="474"/>
      <c r="S54" s="474"/>
      <c r="T54" s="474"/>
      <c r="U54" s="474"/>
      <c r="V54" s="474"/>
      <c r="W54" s="474"/>
      <c r="X54" s="474"/>
      <c r="Y54" s="474"/>
      <c r="Z54" s="474"/>
      <c r="AA54" s="474"/>
      <c r="AB54" s="474"/>
      <c r="AC54" s="474"/>
      <c r="AD54" s="474"/>
      <c r="AE54" s="474"/>
      <c r="AF54" s="474"/>
      <c r="AG54" s="474"/>
      <c r="AH54" s="474"/>
      <c r="AI54" s="474"/>
      <c r="AJ54" s="474"/>
      <c r="AK54" s="474"/>
      <c r="AL54" s="474"/>
      <c r="AM54" s="475"/>
    </row>
    <row r="55" spans="1:54" ht="14.1" customHeight="1">
      <c r="A55" s="470" t="s">
        <v>43</v>
      </c>
      <c r="B55" s="471"/>
      <c r="C55" s="471"/>
      <c r="D55" s="471"/>
      <c r="E55" s="471"/>
      <c r="F55" s="472"/>
      <c r="G55" s="473" t="s">
        <v>44</v>
      </c>
      <c r="H55" s="474"/>
      <c r="I55" s="474"/>
      <c r="J55" s="474"/>
      <c r="K55" s="474"/>
      <c r="L55" s="474"/>
      <c r="M55" s="474"/>
      <c r="N55" s="474"/>
      <c r="O55" s="474"/>
      <c r="P55" s="474"/>
      <c r="Q55" s="474"/>
      <c r="R55" s="474"/>
      <c r="S55" s="474"/>
      <c r="T55" s="474"/>
      <c r="U55" s="474"/>
      <c r="V55" s="474"/>
      <c r="W55" s="474"/>
      <c r="X55" s="474"/>
      <c r="Y55" s="474"/>
      <c r="Z55" s="474"/>
      <c r="AA55" s="474"/>
      <c r="AB55" s="474"/>
      <c r="AC55" s="474"/>
      <c r="AD55" s="474"/>
      <c r="AE55" s="474"/>
      <c r="AF55" s="474"/>
      <c r="AG55" s="474"/>
      <c r="AH55" s="474"/>
      <c r="AI55" s="474"/>
      <c r="AJ55" s="474"/>
      <c r="AK55" s="474"/>
      <c r="AL55" s="474"/>
      <c r="AM55" s="475"/>
    </row>
    <row r="56" spans="1:54" ht="14.1" customHeight="1">
      <c r="A56" s="476" t="s">
        <v>45</v>
      </c>
      <c r="B56" s="477"/>
      <c r="C56" s="477"/>
      <c r="D56" s="477"/>
      <c r="E56" s="477"/>
      <c r="F56" s="478"/>
      <c r="G56" s="479" t="s">
        <v>46</v>
      </c>
      <c r="H56" s="480"/>
      <c r="I56" s="480"/>
      <c r="J56" s="480"/>
      <c r="K56" s="480"/>
      <c r="L56" s="480"/>
      <c r="M56" s="480"/>
      <c r="N56" s="480"/>
      <c r="O56" s="480"/>
      <c r="P56" s="480"/>
      <c r="Q56" s="480"/>
      <c r="R56" s="480"/>
      <c r="S56" s="480"/>
      <c r="T56" s="480"/>
      <c r="U56" s="480"/>
      <c r="V56" s="480"/>
      <c r="W56" s="480"/>
      <c r="X56" s="480"/>
      <c r="Y56" s="480"/>
      <c r="Z56" s="480"/>
      <c r="AA56" s="480"/>
      <c r="AB56" s="480"/>
      <c r="AC56" s="480"/>
      <c r="AD56" s="480"/>
      <c r="AE56" s="480"/>
      <c r="AF56" s="480"/>
      <c r="AG56" s="480"/>
      <c r="AH56" s="480"/>
      <c r="AI56" s="480"/>
      <c r="AJ56" s="480"/>
      <c r="AK56" s="480"/>
      <c r="AL56" s="480"/>
      <c r="AM56" s="481"/>
    </row>
    <row r="57" spans="1:54" s="6" customFormat="1" ht="47.25" customHeight="1">
      <c r="A57" s="69" t="s">
        <v>47</v>
      </c>
      <c r="B57" s="462" t="s">
        <v>48</v>
      </c>
      <c r="C57" s="462"/>
      <c r="D57" s="463" t="s">
        <v>49</v>
      </c>
      <c r="E57" s="464"/>
      <c r="F57" s="464"/>
      <c r="G57" s="464"/>
      <c r="H57" s="464"/>
      <c r="I57" s="464"/>
      <c r="J57" s="464"/>
      <c r="K57" s="464"/>
      <c r="L57" s="464"/>
      <c r="M57" s="464"/>
      <c r="N57" s="464"/>
      <c r="O57" s="464"/>
      <c r="P57" s="464"/>
      <c r="Q57" s="464"/>
      <c r="R57" s="464"/>
      <c r="S57" s="464"/>
      <c r="T57" s="464"/>
      <c r="U57" s="464"/>
      <c r="V57" s="464"/>
      <c r="W57" s="464"/>
      <c r="X57" s="464"/>
      <c r="Y57" s="464"/>
      <c r="Z57" s="464"/>
      <c r="AA57" s="464"/>
      <c r="AB57" s="464"/>
      <c r="AC57" s="464"/>
      <c r="AD57" s="464"/>
      <c r="AE57" s="464"/>
      <c r="AF57" s="464"/>
      <c r="AG57" s="464"/>
      <c r="AH57" s="464"/>
      <c r="AI57" s="464"/>
      <c r="AJ57" s="464"/>
      <c r="AK57" s="107" t="s">
        <v>50</v>
      </c>
      <c r="AL57" s="46" t="s">
        <v>51</v>
      </c>
      <c r="AM57" s="46" t="s">
        <v>52</v>
      </c>
      <c r="AN57" s="141" t="s">
        <v>53</v>
      </c>
      <c r="AO57" s="75" t="s">
        <v>54</v>
      </c>
      <c r="AP57" s="76" t="s">
        <v>55</v>
      </c>
      <c r="AQ57" s="76" t="s">
        <v>56</v>
      </c>
      <c r="AR57" s="76" t="s">
        <v>57</v>
      </c>
      <c r="AS57" s="76" t="s">
        <v>58</v>
      </c>
      <c r="AT57" s="381" t="s">
        <v>59</v>
      </c>
      <c r="AU57" s="382" t="s">
        <v>60</v>
      </c>
      <c r="AV57" s="76" t="s">
        <v>61</v>
      </c>
      <c r="AW57" s="76" t="s">
        <v>62</v>
      </c>
      <c r="AX57" s="76" t="s">
        <v>63</v>
      </c>
      <c r="AY57" s="76" t="s">
        <v>64</v>
      </c>
      <c r="AZ57" s="76" t="s">
        <v>65</v>
      </c>
      <c r="BA57" s="76" t="s">
        <v>66</v>
      </c>
      <c r="BB57" s="77" t="s">
        <v>67</v>
      </c>
    </row>
    <row r="58" spans="1:54" s="3" customFormat="1" ht="72.599999999999994">
      <c r="A58" s="288">
        <v>46113</v>
      </c>
      <c r="B58" s="575" t="s">
        <v>68</v>
      </c>
      <c r="C58" s="576"/>
      <c r="D58" s="577" t="s">
        <v>69</v>
      </c>
      <c r="E58" s="577"/>
      <c r="F58" s="577"/>
      <c r="G58" s="577"/>
      <c r="H58" s="577"/>
      <c r="I58" s="577"/>
      <c r="J58" s="577"/>
      <c r="K58" s="577"/>
      <c r="L58" s="577"/>
      <c r="M58" s="577"/>
      <c r="N58" s="577"/>
      <c r="O58" s="577"/>
      <c r="P58" s="577"/>
      <c r="Q58" s="577"/>
      <c r="R58" s="577"/>
      <c r="S58" s="577"/>
      <c r="T58" s="577"/>
      <c r="U58" s="577"/>
      <c r="V58" s="577"/>
      <c r="W58" s="577"/>
      <c r="X58" s="577"/>
      <c r="Y58" s="577"/>
      <c r="Z58" s="577"/>
      <c r="AA58" s="577"/>
      <c r="AB58" s="577"/>
      <c r="AC58" s="577"/>
      <c r="AD58" s="577"/>
      <c r="AE58" s="577"/>
      <c r="AF58" s="577"/>
      <c r="AG58" s="577"/>
      <c r="AH58" s="577"/>
      <c r="AI58" s="577"/>
      <c r="AJ58" s="578"/>
      <c r="AK58" s="289">
        <v>86.53</v>
      </c>
      <c r="AL58" s="290">
        <v>5</v>
      </c>
      <c r="AM58" s="291">
        <f t="shared" ref="AM58" si="3">IF(AL58="CO", "CO", IF(COUNTIF(AO:AO, A58)=0, 0, (8-SUMIF(AO:AO, A58, AL:AL)) / COUNTIF(AO:AO, A58)))</f>
        <v>3</v>
      </c>
      <c r="AN58" s="360" t="s">
        <v>191</v>
      </c>
      <c r="AO58" s="292">
        <f t="shared" ref="AO58:AO87" si="4">A58</f>
        <v>46113</v>
      </c>
      <c r="AP58" s="293" t="str">
        <f>LEFT(D58,6)</f>
        <v xml:space="preserve">SA1.1 </v>
      </c>
      <c r="AQ58" s="361" t="s">
        <v>76</v>
      </c>
      <c r="AR58" s="294" t="s">
        <v>77</v>
      </c>
      <c r="AS58" s="373" t="s">
        <v>78</v>
      </c>
      <c r="AT58" s="383" t="s">
        <v>192</v>
      </c>
      <c r="AU58" s="377"/>
      <c r="AV58" s="295"/>
      <c r="AW58" s="294"/>
      <c r="AX58" s="295"/>
      <c r="AY58" s="294"/>
      <c r="AZ58" s="294"/>
      <c r="BA58" s="295"/>
      <c r="BB58" s="296"/>
    </row>
    <row r="59" spans="1:54" s="3" customFormat="1" ht="27" customHeight="1">
      <c r="A59" s="111">
        <v>46114</v>
      </c>
      <c r="B59" s="568"/>
      <c r="C59" s="458"/>
      <c r="D59" s="455"/>
      <c r="E59" s="455"/>
      <c r="F59" s="455"/>
      <c r="G59" s="455"/>
      <c r="H59" s="455"/>
      <c r="I59" s="455"/>
      <c r="J59" s="455"/>
      <c r="K59" s="455"/>
      <c r="L59" s="455"/>
      <c r="M59" s="455"/>
      <c r="N59" s="455"/>
      <c r="O59" s="455"/>
      <c r="P59" s="455"/>
      <c r="Q59" s="455"/>
      <c r="R59" s="455"/>
      <c r="S59" s="455"/>
      <c r="T59" s="455"/>
      <c r="U59" s="455"/>
      <c r="V59" s="455"/>
      <c r="W59" s="455"/>
      <c r="X59" s="455"/>
      <c r="Y59" s="455"/>
      <c r="Z59" s="455"/>
      <c r="AA59" s="455"/>
      <c r="AB59" s="455"/>
      <c r="AC59" s="455"/>
      <c r="AD59" s="455"/>
      <c r="AE59" s="455"/>
      <c r="AF59" s="455"/>
      <c r="AG59" s="455"/>
      <c r="AH59" s="455"/>
      <c r="AI59" s="455"/>
      <c r="AJ59" s="456"/>
      <c r="AK59" s="112">
        <v>86.53</v>
      </c>
      <c r="AL59" s="113" t="s">
        <v>5</v>
      </c>
      <c r="AM59" s="135" t="str">
        <f>IF(AL59="CO", "CO", IF(COUNTIF(AO:AO, A59)=0, 0, (8-SUMIF(AO:AO, A59, AL:AL)) / COUNTIF(AO:AO, A59)))</f>
        <v>CO</v>
      </c>
      <c r="AN59" s="145"/>
      <c r="AO59" s="139">
        <f t="shared" si="4"/>
        <v>46114</v>
      </c>
      <c r="AP59" s="114" t="str">
        <f t="shared" ref="AP59:AP87" si="5">LEFT(D59,6)</f>
        <v/>
      </c>
      <c r="AQ59" s="115"/>
      <c r="AR59" s="116"/>
      <c r="AS59" s="163"/>
      <c r="AT59" s="157"/>
      <c r="AU59" s="167"/>
      <c r="AV59" s="83"/>
      <c r="AW59" s="116"/>
      <c r="AX59" s="83"/>
      <c r="AY59" s="116"/>
      <c r="AZ59" s="116"/>
      <c r="BA59" s="116"/>
      <c r="BB59" s="117"/>
    </row>
    <row r="60" spans="1:54" s="3" customFormat="1" ht="57.95">
      <c r="A60" s="111">
        <v>46115</v>
      </c>
      <c r="B60" s="454" t="s">
        <v>68</v>
      </c>
      <c r="C60" s="454"/>
      <c r="D60" s="455" t="s">
        <v>69</v>
      </c>
      <c r="E60" s="455"/>
      <c r="F60" s="455"/>
      <c r="G60" s="455"/>
      <c r="H60" s="455"/>
      <c r="I60" s="455"/>
      <c r="J60" s="455"/>
      <c r="K60" s="455"/>
      <c r="L60" s="455"/>
      <c r="M60" s="455"/>
      <c r="N60" s="455"/>
      <c r="O60" s="455"/>
      <c r="P60" s="455"/>
      <c r="Q60" s="455"/>
      <c r="R60" s="455"/>
      <c r="S60" s="455"/>
      <c r="T60" s="455"/>
      <c r="U60" s="455"/>
      <c r="V60" s="455"/>
      <c r="W60" s="455"/>
      <c r="X60" s="455"/>
      <c r="Y60" s="455"/>
      <c r="Z60" s="455"/>
      <c r="AA60" s="455"/>
      <c r="AB60" s="455"/>
      <c r="AC60" s="455"/>
      <c r="AD60" s="455"/>
      <c r="AE60" s="455"/>
      <c r="AF60" s="455"/>
      <c r="AG60" s="455"/>
      <c r="AH60" s="455"/>
      <c r="AI60" s="455"/>
      <c r="AJ60" s="456"/>
      <c r="AK60" s="112">
        <v>86.53</v>
      </c>
      <c r="AL60" s="113">
        <v>6</v>
      </c>
      <c r="AM60" s="135">
        <f t="shared" ref="AM60:AM87" si="6">IF(AL60="CO", "CO", IF(COUNTIF(AO:AO, A60)=0, 0, (8-SUMIF(AO:AO, A60, AL:AL)) / COUNTIF(AO:AO, A60)))</f>
        <v>2</v>
      </c>
      <c r="AN60" s="196" t="s">
        <v>193</v>
      </c>
      <c r="AO60" s="139">
        <f t="shared" si="4"/>
        <v>46115</v>
      </c>
      <c r="AP60" s="114" t="str">
        <f t="shared" si="5"/>
        <v xml:space="preserve">SA1.1 </v>
      </c>
      <c r="AQ60" s="115" t="s">
        <v>115</v>
      </c>
      <c r="AR60" s="116" t="s">
        <v>101</v>
      </c>
      <c r="AS60" s="163" t="s">
        <v>78</v>
      </c>
      <c r="AT60" s="159" t="s">
        <v>194</v>
      </c>
      <c r="AU60" s="167"/>
      <c r="AV60" s="118"/>
      <c r="AW60" s="116"/>
      <c r="AX60" s="116"/>
      <c r="AY60" s="116"/>
      <c r="AZ60" s="116"/>
      <c r="BA60" s="116"/>
      <c r="BB60" s="117"/>
    </row>
    <row r="61" spans="1:54" s="3" customFormat="1" ht="14.1" customHeight="1">
      <c r="A61" s="70">
        <v>46116</v>
      </c>
      <c r="B61" s="457"/>
      <c r="C61" s="457"/>
      <c r="D61" s="440"/>
      <c r="E61" s="440"/>
      <c r="F61" s="440"/>
      <c r="G61" s="440"/>
      <c r="H61" s="440"/>
      <c r="I61" s="440"/>
      <c r="J61" s="440"/>
      <c r="K61" s="440"/>
      <c r="L61" s="440"/>
      <c r="M61" s="440"/>
      <c r="N61" s="440"/>
      <c r="O61" s="440"/>
      <c r="P61" s="440"/>
      <c r="Q61" s="440"/>
      <c r="R61" s="440"/>
      <c r="S61" s="440"/>
      <c r="T61" s="440"/>
      <c r="U61" s="440"/>
      <c r="V61" s="440"/>
      <c r="W61" s="440"/>
      <c r="X61" s="440"/>
      <c r="Y61" s="440"/>
      <c r="Z61" s="440"/>
      <c r="AA61" s="440"/>
      <c r="AB61" s="440"/>
      <c r="AC61" s="440"/>
      <c r="AD61" s="440"/>
      <c r="AE61" s="440"/>
      <c r="AF61" s="440"/>
      <c r="AG61" s="440"/>
      <c r="AH61" s="440"/>
      <c r="AI61" s="440"/>
      <c r="AJ61" s="441"/>
      <c r="AK61" s="102"/>
      <c r="AL61" s="297"/>
      <c r="AM61" s="134"/>
      <c r="AN61" s="362"/>
      <c r="AO61" s="138">
        <f t="shared" si="4"/>
        <v>46116</v>
      </c>
      <c r="AP61" s="78" t="str">
        <f t="shared" si="5"/>
        <v/>
      </c>
      <c r="AQ61" s="79"/>
      <c r="AR61" s="80"/>
      <c r="AS61" s="162"/>
      <c r="AT61" s="156"/>
      <c r="AU61" s="166"/>
      <c r="AV61" s="72"/>
      <c r="AW61" s="80"/>
      <c r="AX61" s="72"/>
      <c r="AY61" s="80"/>
      <c r="AZ61" s="80"/>
      <c r="BA61" s="80"/>
      <c r="BB61" s="92"/>
    </row>
    <row r="62" spans="1:54" s="3" customFormat="1" ht="14.1" customHeight="1">
      <c r="A62" s="70">
        <v>46117</v>
      </c>
      <c r="B62" s="457"/>
      <c r="C62" s="457"/>
      <c r="D62" s="440"/>
      <c r="E62" s="440"/>
      <c r="F62" s="440"/>
      <c r="G62" s="440"/>
      <c r="H62" s="440"/>
      <c r="I62" s="440"/>
      <c r="J62" s="440"/>
      <c r="K62" s="440"/>
      <c r="L62" s="440"/>
      <c r="M62" s="440"/>
      <c r="N62" s="440"/>
      <c r="O62" s="440"/>
      <c r="P62" s="440"/>
      <c r="Q62" s="440"/>
      <c r="R62" s="440"/>
      <c r="S62" s="440"/>
      <c r="T62" s="440"/>
      <c r="U62" s="440"/>
      <c r="V62" s="440"/>
      <c r="W62" s="440"/>
      <c r="X62" s="440"/>
      <c r="Y62" s="440"/>
      <c r="Z62" s="440"/>
      <c r="AA62" s="440"/>
      <c r="AB62" s="440"/>
      <c r="AC62" s="440"/>
      <c r="AD62" s="440"/>
      <c r="AE62" s="440"/>
      <c r="AF62" s="440"/>
      <c r="AG62" s="440"/>
      <c r="AH62" s="440"/>
      <c r="AI62" s="440"/>
      <c r="AJ62" s="441"/>
      <c r="AK62" s="102"/>
      <c r="AL62" s="105"/>
      <c r="AM62" s="134"/>
      <c r="AN62" s="144"/>
      <c r="AO62" s="138">
        <f t="shared" si="4"/>
        <v>46117</v>
      </c>
      <c r="AP62" s="78" t="str">
        <f t="shared" si="5"/>
        <v/>
      </c>
      <c r="AQ62" s="79"/>
      <c r="AR62" s="80"/>
      <c r="AS62" s="162"/>
      <c r="AT62" s="395"/>
      <c r="AU62" s="166"/>
      <c r="AV62" s="298"/>
      <c r="AW62" s="80"/>
      <c r="AX62" s="80"/>
      <c r="AY62" s="80"/>
      <c r="AZ62" s="80"/>
      <c r="BA62" s="80"/>
      <c r="BB62" s="92"/>
    </row>
    <row r="63" spans="1:54" s="3" customFormat="1" ht="27" customHeight="1">
      <c r="A63" s="111">
        <v>46118</v>
      </c>
      <c r="B63" s="454" t="s">
        <v>68</v>
      </c>
      <c r="C63" s="454"/>
      <c r="D63" s="455" t="s">
        <v>69</v>
      </c>
      <c r="E63" s="455"/>
      <c r="F63" s="455"/>
      <c r="G63" s="455"/>
      <c r="H63" s="455"/>
      <c r="I63" s="455"/>
      <c r="J63" s="455"/>
      <c r="K63" s="455"/>
      <c r="L63" s="455"/>
      <c r="M63" s="455"/>
      <c r="N63" s="455"/>
      <c r="O63" s="455"/>
      <c r="P63" s="455"/>
      <c r="Q63" s="455"/>
      <c r="R63" s="455"/>
      <c r="S63" s="455"/>
      <c r="T63" s="455"/>
      <c r="U63" s="455"/>
      <c r="V63" s="455"/>
      <c r="W63" s="455"/>
      <c r="X63" s="455"/>
      <c r="Y63" s="455"/>
      <c r="Z63" s="455"/>
      <c r="AA63" s="455"/>
      <c r="AB63" s="455"/>
      <c r="AC63" s="455"/>
      <c r="AD63" s="455"/>
      <c r="AE63" s="455"/>
      <c r="AF63" s="455"/>
      <c r="AG63" s="455"/>
      <c r="AH63" s="455"/>
      <c r="AI63" s="455"/>
      <c r="AJ63" s="456"/>
      <c r="AK63" s="112">
        <v>86.53</v>
      </c>
      <c r="AL63" s="113">
        <v>4</v>
      </c>
      <c r="AM63" s="135">
        <f t="shared" si="6"/>
        <v>4</v>
      </c>
      <c r="AN63" s="363" t="s">
        <v>195</v>
      </c>
      <c r="AO63" s="139">
        <f t="shared" si="4"/>
        <v>46118</v>
      </c>
      <c r="AP63" s="114" t="str">
        <f t="shared" si="5"/>
        <v xml:space="preserve">SA1.1 </v>
      </c>
      <c r="AQ63" s="115" t="s">
        <v>71</v>
      </c>
      <c r="AR63" s="116" t="s">
        <v>196</v>
      </c>
      <c r="AS63" s="163" t="s">
        <v>78</v>
      </c>
      <c r="AT63" s="159" t="s">
        <v>197</v>
      </c>
      <c r="AU63" s="167"/>
      <c r="AV63" s="118"/>
      <c r="AW63" s="116"/>
      <c r="AX63" s="83"/>
      <c r="AY63" s="116"/>
      <c r="AZ63" s="116"/>
      <c r="BA63" s="116"/>
      <c r="BB63" s="117"/>
    </row>
    <row r="64" spans="1:54" s="3" customFormat="1" ht="57.95">
      <c r="A64" s="111">
        <v>46119</v>
      </c>
      <c r="B64" s="454" t="s">
        <v>68</v>
      </c>
      <c r="C64" s="454"/>
      <c r="D64" s="455" t="s">
        <v>69</v>
      </c>
      <c r="E64" s="455"/>
      <c r="F64" s="455"/>
      <c r="G64" s="455"/>
      <c r="H64" s="455"/>
      <c r="I64" s="455"/>
      <c r="J64" s="455"/>
      <c r="K64" s="455"/>
      <c r="L64" s="455"/>
      <c r="M64" s="455"/>
      <c r="N64" s="455"/>
      <c r="O64" s="455"/>
      <c r="P64" s="455"/>
      <c r="Q64" s="455"/>
      <c r="R64" s="455"/>
      <c r="S64" s="455"/>
      <c r="T64" s="455"/>
      <c r="U64" s="455"/>
      <c r="V64" s="455"/>
      <c r="W64" s="455"/>
      <c r="X64" s="455"/>
      <c r="Y64" s="455"/>
      <c r="Z64" s="455"/>
      <c r="AA64" s="455"/>
      <c r="AB64" s="455"/>
      <c r="AC64" s="455"/>
      <c r="AD64" s="455"/>
      <c r="AE64" s="455"/>
      <c r="AF64" s="455"/>
      <c r="AG64" s="455"/>
      <c r="AH64" s="455"/>
      <c r="AI64" s="455"/>
      <c r="AJ64" s="456"/>
      <c r="AK64" s="112">
        <v>86.53</v>
      </c>
      <c r="AL64" s="113">
        <v>8</v>
      </c>
      <c r="AM64" s="135">
        <f t="shared" si="6"/>
        <v>0</v>
      </c>
      <c r="AN64" s="195" t="s">
        <v>198</v>
      </c>
      <c r="AO64" s="139">
        <f t="shared" si="4"/>
        <v>46119</v>
      </c>
      <c r="AP64" s="114" t="str">
        <f t="shared" si="5"/>
        <v xml:space="preserve">SA1.1 </v>
      </c>
      <c r="AQ64" s="115" t="s">
        <v>71</v>
      </c>
      <c r="AR64" s="364" t="s">
        <v>199</v>
      </c>
      <c r="AS64" s="163" t="s">
        <v>78</v>
      </c>
      <c r="AT64" s="159" t="s">
        <v>200</v>
      </c>
      <c r="AU64" s="167"/>
      <c r="AV64" s="83"/>
      <c r="AW64" s="116"/>
      <c r="AX64" s="83"/>
      <c r="AY64" s="116"/>
      <c r="AZ64" s="116"/>
      <c r="BA64" s="116"/>
      <c r="BB64" s="117"/>
    </row>
    <row r="65" spans="1:54" s="3" customFormat="1" ht="27" customHeight="1">
      <c r="A65" s="111">
        <v>46120</v>
      </c>
      <c r="B65" s="458" t="s">
        <v>36</v>
      </c>
      <c r="C65" s="459"/>
      <c r="D65" s="455"/>
      <c r="E65" s="455"/>
      <c r="F65" s="455"/>
      <c r="G65" s="455"/>
      <c r="H65" s="455"/>
      <c r="I65" s="455"/>
      <c r="J65" s="455"/>
      <c r="K65" s="455"/>
      <c r="L65" s="455"/>
      <c r="M65" s="455"/>
      <c r="N65" s="455"/>
      <c r="O65" s="455"/>
      <c r="P65" s="455"/>
      <c r="Q65" s="455"/>
      <c r="R65" s="455"/>
      <c r="S65" s="455"/>
      <c r="T65" s="455"/>
      <c r="U65" s="455"/>
      <c r="V65" s="455"/>
      <c r="W65" s="455"/>
      <c r="X65" s="455"/>
      <c r="Y65" s="455"/>
      <c r="Z65" s="455"/>
      <c r="AA65" s="455"/>
      <c r="AB65" s="455"/>
      <c r="AC65" s="455"/>
      <c r="AD65" s="455"/>
      <c r="AE65" s="455"/>
      <c r="AF65" s="455"/>
      <c r="AG65" s="455"/>
      <c r="AH65" s="455"/>
      <c r="AI65" s="455"/>
      <c r="AJ65" s="456"/>
      <c r="AK65" s="112">
        <v>86.53</v>
      </c>
      <c r="AL65" s="113" t="s">
        <v>5</v>
      </c>
      <c r="AM65" s="135" t="str">
        <f t="shared" si="6"/>
        <v>CO</v>
      </c>
      <c r="AN65" s="216"/>
      <c r="AO65" s="139">
        <f t="shared" si="4"/>
        <v>46120</v>
      </c>
      <c r="AP65" s="114" t="str">
        <f t="shared" si="5"/>
        <v/>
      </c>
      <c r="AQ65" s="115"/>
      <c r="AR65" s="116"/>
      <c r="AS65" s="163"/>
      <c r="AT65" s="157"/>
      <c r="AU65" s="167"/>
      <c r="AV65" s="118"/>
      <c r="AW65" s="116"/>
      <c r="AX65" s="120"/>
      <c r="AY65" s="116"/>
      <c r="AZ65" s="116"/>
      <c r="BA65" s="116"/>
      <c r="BB65" s="117"/>
    </row>
    <row r="66" spans="1:54" s="3" customFormat="1" ht="27" customHeight="1">
      <c r="A66" s="111">
        <v>46121</v>
      </c>
      <c r="B66" s="458"/>
      <c r="C66" s="459"/>
      <c r="D66" s="455"/>
      <c r="E66" s="455"/>
      <c r="F66" s="455"/>
      <c r="G66" s="455"/>
      <c r="H66" s="455"/>
      <c r="I66" s="455"/>
      <c r="J66" s="455"/>
      <c r="K66" s="455"/>
      <c r="L66" s="455"/>
      <c r="M66" s="455"/>
      <c r="N66" s="455"/>
      <c r="O66" s="455"/>
      <c r="P66" s="455"/>
      <c r="Q66" s="455"/>
      <c r="R66" s="455"/>
      <c r="S66" s="455"/>
      <c r="T66" s="455"/>
      <c r="U66" s="455"/>
      <c r="V66" s="455"/>
      <c r="W66" s="455"/>
      <c r="X66" s="455"/>
      <c r="Y66" s="455"/>
      <c r="Z66" s="455"/>
      <c r="AA66" s="455"/>
      <c r="AB66" s="455"/>
      <c r="AC66" s="455"/>
      <c r="AD66" s="455"/>
      <c r="AE66" s="455"/>
      <c r="AF66" s="455"/>
      <c r="AG66" s="455"/>
      <c r="AH66" s="455"/>
      <c r="AI66" s="455"/>
      <c r="AJ66" s="456"/>
      <c r="AK66" s="112">
        <v>86.53</v>
      </c>
      <c r="AL66" s="113" t="s">
        <v>5</v>
      </c>
      <c r="AM66" s="135" t="str">
        <f t="shared" si="6"/>
        <v>CO</v>
      </c>
      <c r="AN66" s="216"/>
      <c r="AO66" s="139">
        <f>A66</f>
        <v>46121</v>
      </c>
      <c r="AP66" s="114" t="str">
        <f>LEFT(D66,6)</f>
        <v/>
      </c>
      <c r="AQ66" s="115"/>
      <c r="AR66" s="116"/>
      <c r="AS66" s="163"/>
      <c r="AT66" s="157"/>
      <c r="AU66" s="167"/>
      <c r="AV66" s="118"/>
      <c r="AW66" s="116"/>
      <c r="AX66" s="120"/>
      <c r="AY66" s="116"/>
      <c r="AZ66" s="116"/>
      <c r="BA66" s="116"/>
      <c r="BB66" s="117"/>
    </row>
    <row r="67" spans="1:54" s="3" customFormat="1" ht="14.1" customHeight="1">
      <c r="A67" s="71">
        <v>46122</v>
      </c>
      <c r="B67" s="511"/>
      <c r="C67" s="511"/>
      <c r="D67" s="509"/>
      <c r="E67" s="509"/>
      <c r="F67" s="509"/>
      <c r="G67" s="509"/>
      <c r="H67" s="509"/>
      <c r="I67" s="509"/>
      <c r="J67" s="509"/>
      <c r="K67" s="509"/>
      <c r="L67" s="509"/>
      <c r="M67" s="509"/>
      <c r="N67" s="509"/>
      <c r="O67" s="509"/>
      <c r="P67" s="509"/>
      <c r="Q67" s="509"/>
      <c r="R67" s="509"/>
      <c r="S67" s="509"/>
      <c r="T67" s="509"/>
      <c r="U67" s="509"/>
      <c r="V67" s="509"/>
      <c r="W67" s="509"/>
      <c r="X67" s="509"/>
      <c r="Y67" s="509"/>
      <c r="Z67" s="509"/>
      <c r="AA67" s="509"/>
      <c r="AB67" s="509"/>
      <c r="AC67" s="509"/>
      <c r="AD67" s="509"/>
      <c r="AE67" s="509"/>
      <c r="AF67" s="509"/>
      <c r="AG67" s="509"/>
      <c r="AH67" s="509"/>
      <c r="AI67" s="509"/>
      <c r="AJ67" s="510"/>
      <c r="AK67" s="103"/>
      <c r="AL67" s="106"/>
      <c r="AM67" s="133"/>
      <c r="AN67" s="365"/>
      <c r="AO67" s="137">
        <f t="shared" si="4"/>
        <v>46122</v>
      </c>
      <c r="AP67" s="96" t="str">
        <f t="shared" si="5"/>
        <v/>
      </c>
      <c r="AQ67" s="97"/>
      <c r="AR67" s="98"/>
      <c r="AS67" s="161"/>
      <c r="AT67" s="155"/>
      <c r="AU67" s="165"/>
      <c r="AV67" s="123"/>
      <c r="AW67" s="98"/>
      <c r="AX67" s="299"/>
      <c r="AY67" s="98"/>
      <c r="AZ67" s="98"/>
      <c r="BA67" s="98"/>
      <c r="BB67" s="300"/>
    </row>
    <row r="68" spans="1:54" s="3" customFormat="1" ht="14.1" customHeight="1">
      <c r="A68" s="70">
        <v>46123</v>
      </c>
      <c r="B68" s="457"/>
      <c r="C68" s="457"/>
      <c r="D68" s="440"/>
      <c r="E68" s="440"/>
      <c r="F68" s="440"/>
      <c r="G68" s="440"/>
      <c r="H68" s="440"/>
      <c r="I68" s="440"/>
      <c r="J68" s="440"/>
      <c r="K68" s="440"/>
      <c r="L68" s="440"/>
      <c r="M68" s="440"/>
      <c r="N68" s="440"/>
      <c r="O68" s="440"/>
      <c r="P68" s="440"/>
      <c r="Q68" s="440"/>
      <c r="R68" s="440"/>
      <c r="S68" s="440"/>
      <c r="T68" s="440"/>
      <c r="U68" s="440"/>
      <c r="V68" s="440"/>
      <c r="W68" s="440"/>
      <c r="X68" s="440"/>
      <c r="Y68" s="440"/>
      <c r="Z68" s="440"/>
      <c r="AA68" s="440"/>
      <c r="AB68" s="440"/>
      <c r="AC68" s="440"/>
      <c r="AD68" s="440"/>
      <c r="AE68" s="440"/>
      <c r="AF68" s="440"/>
      <c r="AG68" s="440"/>
      <c r="AH68" s="440"/>
      <c r="AI68" s="440"/>
      <c r="AJ68" s="441"/>
      <c r="AK68" s="102"/>
      <c r="AL68" s="105"/>
      <c r="AM68" s="134"/>
      <c r="AN68" s="144"/>
      <c r="AO68" s="138">
        <f t="shared" si="4"/>
        <v>46123</v>
      </c>
      <c r="AP68" s="78" t="str">
        <f t="shared" si="5"/>
        <v/>
      </c>
      <c r="AQ68" s="79"/>
      <c r="AR68" s="80"/>
      <c r="AS68" s="162"/>
      <c r="AT68" s="156"/>
      <c r="AU68" s="166"/>
      <c r="AV68" s="81"/>
      <c r="AW68" s="80"/>
      <c r="AX68" s="82"/>
      <c r="AY68" s="80"/>
      <c r="AZ68" s="80"/>
      <c r="BA68" s="80"/>
      <c r="BB68" s="91"/>
    </row>
    <row r="69" spans="1:54" s="3" customFormat="1" ht="14.1" customHeight="1">
      <c r="A69" s="70">
        <v>46124</v>
      </c>
      <c r="B69" s="457"/>
      <c r="C69" s="457"/>
      <c r="D69" s="440"/>
      <c r="E69" s="440"/>
      <c r="F69" s="440"/>
      <c r="G69" s="440"/>
      <c r="H69" s="440"/>
      <c r="I69" s="440"/>
      <c r="J69" s="440"/>
      <c r="K69" s="440"/>
      <c r="L69" s="440"/>
      <c r="M69" s="440"/>
      <c r="N69" s="440"/>
      <c r="O69" s="440"/>
      <c r="P69" s="440"/>
      <c r="Q69" s="440"/>
      <c r="R69" s="440"/>
      <c r="S69" s="440"/>
      <c r="T69" s="440"/>
      <c r="U69" s="440"/>
      <c r="V69" s="440"/>
      <c r="W69" s="440"/>
      <c r="X69" s="440"/>
      <c r="Y69" s="440"/>
      <c r="Z69" s="440"/>
      <c r="AA69" s="440"/>
      <c r="AB69" s="440"/>
      <c r="AC69" s="440"/>
      <c r="AD69" s="440"/>
      <c r="AE69" s="440"/>
      <c r="AF69" s="440"/>
      <c r="AG69" s="440"/>
      <c r="AH69" s="440"/>
      <c r="AI69" s="440"/>
      <c r="AJ69" s="441"/>
      <c r="AK69" s="102"/>
      <c r="AL69" s="105"/>
      <c r="AM69" s="134"/>
      <c r="AN69" s="144"/>
      <c r="AO69" s="138">
        <f t="shared" si="4"/>
        <v>46124</v>
      </c>
      <c r="AP69" s="78" t="str">
        <f t="shared" si="5"/>
        <v/>
      </c>
      <c r="AQ69" s="79"/>
      <c r="AR69" s="80"/>
      <c r="AS69" s="374"/>
      <c r="AT69" s="156"/>
      <c r="AU69" s="166"/>
      <c r="AV69" s="81"/>
      <c r="AW69" s="80"/>
      <c r="AX69" s="82"/>
      <c r="AY69" s="80"/>
      <c r="AZ69" s="80"/>
      <c r="BA69" s="80"/>
      <c r="BB69" s="91"/>
    </row>
    <row r="70" spans="1:54" s="3" customFormat="1" ht="14.1" customHeight="1">
      <c r="A70" s="71">
        <v>46125</v>
      </c>
      <c r="B70" s="511"/>
      <c r="C70" s="511"/>
      <c r="D70" s="509"/>
      <c r="E70" s="509"/>
      <c r="F70" s="509"/>
      <c r="G70" s="509"/>
      <c r="H70" s="509"/>
      <c r="I70" s="509"/>
      <c r="J70" s="509"/>
      <c r="K70" s="509"/>
      <c r="L70" s="509"/>
      <c r="M70" s="509"/>
      <c r="N70" s="509"/>
      <c r="O70" s="509"/>
      <c r="P70" s="509"/>
      <c r="Q70" s="509"/>
      <c r="R70" s="509"/>
      <c r="S70" s="509"/>
      <c r="T70" s="509"/>
      <c r="U70" s="509"/>
      <c r="V70" s="509"/>
      <c r="W70" s="509"/>
      <c r="X70" s="509"/>
      <c r="Y70" s="509"/>
      <c r="Z70" s="509"/>
      <c r="AA70" s="509"/>
      <c r="AB70" s="509"/>
      <c r="AC70" s="509"/>
      <c r="AD70" s="509"/>
      <c r="AE70" s="509"/>
      <c r="AF70" s="509"/>
      <c r="AG70" s="509"/>
      <c r="AH70" s="509"/>
      <c r="AI70" s="509"/>
      <c r="AJ70" s="510"/>
      <c r="AK70" s="103"/>
      <c r="AL70" s="106"/>
      <c r="AM70" s="133"/>
      <c r="AN70" s="143"/>
      <c r="AO70" s="137">
        <f t="shared" si="4"/>
        <v>46125</v>
      </c>
      <c r="AP70" s="96" t="str">
        <f t="shared" si="5"/>
        <v/>
      </c>
      <c r="AQ70" s="97"/>
      <c r="AR70" s="98"/>
      <c r="AS70" s="375"/>
      <c r="AT70" s="155"/>
      <c r="AU70" s="165"/>
      <c r="AV70" s="99"/>
      <c r="AW70" s="98"/>
      <c r="AX70" s="299"/>
      <c r="AY70" s="98"/>
      <c r="AZ70" s="98"/>
      <c r="BA70" s="98"/>
      <c r="BB70" s="100"/>
    </row>
    <row r="71" spans="1:54" s="3" customFormat="1" ht="27" customHeight="1">
      <c r="A71" s="111">
        <v>46126</v>
      </c>
      <c r="B71" s="454"/>
      <c r="C71" s="454"/>
      <c r="D71" s="455"/>
      <c r="E71" s="455"/>
      <c r="F71" s="455"/>
      <c r="G71" s="455"/>
      <c r="H71" s="455"/>
      <c r="I71" s="455"/>
      <c r="J71" s="455"/>
      <c r="K71" s="455"/>
      <c r="L71" s="455"/>
      <c r="M71" s="455"/>
      <c r="N71" s="455"/>
      <c r="O71" s="455"/>
      <c r="P71" s="455"/>
      <c r="Q71" s="455"/>
      <c r="R71" s="455"/>
      <c r="S71" s="455"/>
      <c r="T71" s="455"/>
      <c r="U71" s="455"/>
      <c r="V71" s="455"/>
      <c r="W71" s="455"/>
      <c r="X71" s="455"/>
      <c r="Y71" s="455"/>
      <c r="Z71" s="455"/>
      <c r="AA71" s="455"/>
      <c r="AB71" s="455"/>
      <c r="AC71" s="455"/>
      <c r="AD71" s="455"/>
      <c r="AE71" s="455"/>
      <c r="AF71" s="455"/>
      <c r="AG71" s="455"/>
      <c r="AH71" s="455"/>
      <c r="AI71" s="455"/>
      <c r="AJ71" s="456"/>
      <c r="AK71" s="112"/>
      <c r="AL71" s="113"/>
      <c r="AM71" s="135">
        <f t="shared" si="6"/>
        <v>8</v>
      </c>
      <c r="AN71" s="145"/>
      <c r="AO71" s="139">
        <f t="shared" si="4"/>
        <v>46126</v>
      </c>
      <c r="AP71" s="114" t="str">
        <f t="shared" si="5"/>
        <v/>
      </c>
      <c r="AQ71" s="115"/>
      <c r="AR71" s="116"/>
      <c r="AS71" s="163"/>
      <c r="AT71" s="157"/>
      <c r="AU71" s="167"/>
      <c r="AV71" s="118"/>
      <c r="AW71" s="116"/>
      <c r="AX71" s="120"/>
      <c r="AY71" s="116"/>
      <c r="AZ71" s="116"/>
      <c r="BA71" s="116"/>
      <c r="BB71" s="117"/>
    </row>
    <row r="72" spans="1:54" s="3" customFormat="1" ht="30.75">
      <c r="A72" s="111">
        <v>46127</v>
      </c>
      <c r="B72" s="454" t="s">
        <v>68</v>
      </c>
      <c r="C72" s="454"/>
      <c r="D72" s="455" t="s">
        <v>69</v>
      </c>
      <c r="E72" s="455"/>
      <c r="F72" s="455"/>
      <c r="G72" s="455"/>
      <c r="H72" s="455"/>
      <c r="I72" s="455"/>
      <c r="J72" s="455"/>
      <c r="K72" s="455"/>
      <c r="L72" s="455"/>
      <c r="M72" s="455"/>
      <c r="N72" s="455"/>
      <c r="O72" s="455"/>
      <c r="P72" s="455"/>
      <c r="Q72" s="455"/>
      <c r="R72" s="455"/>
      <c r="S72" s="455"/>
      <c r="T72" s="455"/>
      <c r="U72" s="455"/>
      <c r="V72" s="455"/>
      <c r="W72" s="455"/>
      <c r="X72" s="455"/>
      <c r="Y72" s="455"/>
      <c r="Z72" s="455"/>
      <c r="AA72" s="455"/>
      <c r="AB72" s="455"/>
      <c r="AC72" s="455"/>
      <c r="AD72" s="455"/>
      <c r="AE72" s="455"/>
      <c r="AF72" s="455"/>
      <c r="AG72" s="455"/>
      <c r="AH72" s="455"/>
      <c r="AI72" s="455"/>
      <c r="AJ72" s="456"/>
      <c r="AK72" s="112">
        <v>86.53</v>
      </c>
      <c r="AL72" s="113">
        <v>2</v>
      </c>
      <c r="AM72" s="135">
        <f t="shared" si="6"/>
        <v>6</v>
      </c>
      <c r="AN72" s="366" t="s">
        <v>201</v>
      </c>
      <c r="AO72" s="139">
        <f t="shared" si="4"/>
        <v>46127</v>
      </c>
      <c r="AP72" s="114" t="str">
        <f t="shared" si="5"/>
        <v xml:space="preserve">SA1.1 </v>
      </c>
      <c r="AQ72" s="115"/>
      <c r="AR72" s="116"/>
      <c r="AS72" s="163"/>
      <c r="AT72" s="159" t="s">
        <v>202</v>
      </c>
      <c r="AU72" s="167"/>
      <c r="AV72" s="118"/>
      <c r="AW72" s="116"/>
      <c r="AX72" s="120"/>
      <c r="AY72" s="116"/>
      <c r="AZ72" s="116"/>
      <c r="BA72" s="116"/>
      <c r="BB72" s="119"/>
    </row>
    <row r="73" spans="1:54" s="3" customFormat="1" ht="27" customHeight="1">
      <c r="A73" s="111">
        <v>46128</v>
      </c>
      <c r="B73" s="454"/>
      <c r="C73" s="454"/>
      <c r="D73" s="455"/>
      <c r="E73" s="455"/>
      <c r="F73" s="455"/>
      <c r="G73" s="455"/>
      <c r="H73" s="455"/>
      <c r="I73" s="455"/>
      <c r="J73" s="455"/>
      <c r="K73" s="455"/>
      <c r="L73" s="455"/>
      <c r="M73" s="455"/>
      <c r="N73" s="455"/>
      <c r="O73" s="455"/>
      <c r="P73" s="455"/>
      <c r="Q73" s="455"/>
      <c r="R73" s="455"/>
      <c r="S73" s="455"/>
      <c r="T73" s="455"/>
      <c r="U73" s="455"/>
      <c r="V73" s="455"/>
      <c r="W73" s="455"/>
      <c r="X73" s="455"/>
      <c r="Y73" s="455"/>
      <c r="Z73" s="455"/>
      <c r="AA73" s="455"/>
      <c r="AB73" s="455"/>
      <c r="AC73" s="455"/>
      <c r="AD73" s="455"/>
      <c r="AE73" s="455"/>
      <c r="AF73" s="455"/>
      <c r="AG73" s="455"/>
      <c r="AH73" s="455"/>
      <c r="AI73" s="455"/>
      <c r="AJ73" s="456"/>
      <c r="AK73" s="112"/>
      <c r="AL73" s="113"/>
      <c r="AM73" s="135">
        <f t="shared" si="6"/>
        <v>8</v>
      </c>
      <c r="AN73" s="216"/>
      <c r="AO73" s="139">
        <f t="shared" si="4"/>
        <v>46128</v>
      </c>
      <c r="AP73" s="114" t="str">
        <f t="shared" si="5"/>
        <v/>
      </c>
      <c r="AQ73" s="115"/>
      <c r="AR73" s="116"/>
      <c r="AS73" s="163"/>
      <c r="AT73" s="157"/>
      <c r="AU73" s="167"/>
      <c r="AV73" s="118"/>
      <c r="AW73" s="116"/>
      <c r="AX73" s="120"/>
      <c r="AY73" s="116"/>
      <c r="AZ73" s="116"/>
      <c r="BA73" s="116"/>
      <c r="BB73" s="119"/>
    </row>
    <row r="74" spans="1:54" s="3" customFormat="1" ht="27" customHeight="1">
      <c r="A74" s="111">
        <v>46129</v>
      </c>
      <c r="B74" s="454"/>
      <c r="C74" s="454"/>
      <c r="D74" s="455"/>
      <c r="E74" s="455"/>
      <c r="F74" s="455"/>
      <c r="G74" s="455"/>
      <c r="H74" s="455"/>
      <c r="I74" s="455"/>
      <c r="J74" s="455"/>
      <c r="K74" s="455"/>
      <c r="L74" s="455"/>
      <c r="M74" s="455"/>
      <c r="N74" s="455"/>
      <c r="O74" s="455"/>
      <c r="P74" s="455"/>
      <c r="Q74" s="455"/>
      <c r="R74" s="455"/>
      <c r="S74" s="455"/>
      <c r="T74" s="455"/>
      <c r="U74" s="455"/>
      <c r="V74" s="455"/>
      <c r="W74" s="455"/>
      <c r="X74" s="455"/>
      <c r="Y74" s="455"/>
      <c r="Z74" s="455"/>
      <c r="AA74" s="455"/>
      <c r="AB74" s="455"/>
      <c r="AC74" s="455"/>
      <c r="AD74" s="455"/>
      <c r="AE74" s="455"/>
      <c r="AF74" s="455"/>
      <c r="AG74" s="455"/>
      <c r="AH74" s="455"/>
      <c r="AI74" s="455"/>
      <c r="AJ74" s="456"/>
      <c r="AK74" s="112"/>
      <c r="AL74" s="113"/>
      <c r="AM74" s="135">
        <f t="shared" si="6"/>
        <v>8</v>
      </c>
      <c r="AN74" s="216"/>
      <c r="AO74" s="139">
        <f t="shared" si="4"/>
        <v>46129</v>
      </c>
      <c r="AP74" s="114" t="str">
        <f>LEFT(D74,6)</f>
        <v/>
      </c>
      <c r="AQ74" s="115"/>
      <c r="AR74" s="116"/>
      <c r="AS74" s="163"/>
      <c r="AT74" s="159"/>
      <c r="AU74" s="357"/>
      <c r="AV74" s="83"/>
      <c r="AW74" s="116"/>
      <c r="AX74" s="116"/>
      <c r="AY74" s="116"/>
      <c r="AZ74" s="116"/>
      <c r="BA74" s="116"/>
      <c r="BB74" s="121"/>
    </row>
    <row r="75" spans="1:54" s="3" customFormat="1" ht="14.1" customHeight="1">
      <c r="A75" s="70">
        <v>46130</v>
      </c>
      <c r="B75" s="460"/>
      <c r="C75" s="461"/>
      <c r="D75" s="440"/>
      <c r="E75" s="440"/>
      <c r="F75" s="440"/>
      <c r="G75" s="440"/>
      <c r="H75" s="440"/>
      <c r="I75" s="440"/>
      <c r="J75" s="440"/>
      <c r="K75" s="440"/>
      <c r="L75" s="440"/>
      <c r="M75" s="440"/>
      <c r="N75" s="440"/>
      <c r="O75" s="440"/>
      <c r="P75" s="440"/>
      <c r="Q75" s="440"/>
      <c r="R75" s="440"/>
      <c r="S75" s="440"/>
      <c r="T75" s="440"/>
      <c r="U75" s="440"/>
      <c r="V75" s="440"/>
      <c r="W75" s="440"/>
      <c r="X75" s="440"/>
      <c r="Y75" s="440"/>
      <c r="Z75" s="440"/>
      <c r="AA75" s="440"/>
      <c r="AB75" s="440"/>
      <c r="AC75" s="440"/>
      <c r="AD75" s="440"/>
      <c r="AE75" s="440"/>
      <c r="AF75" s="440"/>
      <c r="AG75" s="440"/>
      <c r="AH75" s="440"/>
      <c r="AI75" s="440"/>
      <c r="AJ75" s="441"/>
      <c r="AK75" s="102"/>
      <c r="AL75" s="105"/>
      <c r="AM75" s="134"/>
      <c r="AN75" s="367"/>
      <c r="AO75" s="138">
        <f t="shared" si="4"/>
        <v>46130</v>
      </c>
      <c r="AP75" s="78" t="str">
        <f t="shared" si="5"/>
        <v/>
      </c>
      <c r="AQ75" s="79"/>
      <c r="AR75" s="80"/>
      <c r="AS75" s="162"/>
      <c r="AT75" s="160"/>
      <c r="AU75" s="166"/>
      <c r="AV75" s="80"/>
      <c r="AW75" s="80"/>
      <c r="AX75" s="82"/>
      <c r="AY75" s="80"/>
      <c r="AZ75" s="80"/>
      <c r="BA75" s="80"/>
      <c r="BB75" s="91"/>
    </row>
    <row r="76" spans="1:54" s="3" customFormat="1" ht="14.1" customHeight="1">
      <c r="A76" s="70">
        <v>46131</v>
      </c>
      <c r="B76" s="460"/>
      <c r="C76" s="461"/>
      <c r="D76" s="440"/>
      <c r="E76" s="440"/>
      <c r="F76" s="440"/>
      <c r="G76" s="440"/>
      <c r="H76" s="440"/>
      <c r="I76" s="440"/>
      <c r="J76" s="440"/>
      <c r="K76" s="440"/>
      <c r="L76" s="440"/>
      <c r="M76" s="440"/>
      <c r="N76" s="440"/>
      <c r="O76" s="440"/>
      <c r="P76" s="440"/>
      <c r="Q76" s="440"/>
      <c r="R76" s="440"/>
      <c r="S76" s="440"/>
      <c r="T76" s="440"/>
      <c r="U76" s="440"/>
      <c r="V76" s="440"/>
      <c r="W76" s="440"/>
      <c r="X76" s="440"/>
      <c r="Y76" s="440"/>
      <c r="Z76" s="440"/>
      <c r="AA76" s="440"/>
      <c r="AB76" s="440"/>
      <c r="AC76" s="440"/>
      <c r="AD76" s="440"/>
      <c r="AE76" s="440"/>
      <c r="AF76" s="440"/>
      <c r="AG76" s="440"/>
      <c r="AH76" s="440"/>
      <c r="AI76" s="440"/>
      <c r="AJ76" s="441"/>
      <c r="AK76" s="102"/>
      <c r="AL76" s="105"/>
      <c r="AM76" s="134"/>
      <c r="AN76" s="144"/>
      <c r="AO76" s="138">
        <f t="shared" si="4"/>
        <v>46131</v>
      </c>
      <c r="AP76" s="78" t="str">
        <f t="shared" si="5"/>
        <v/>
      </c>
      <c r="AQ76" s="79"/>
      <c r="AR76" s="80"/>
      <c r="AS76" s="162"/>
      <c r="AT76" s="156"/>
      <c r="AU76" s="166"/>
      <c r="AV76" s="81"/>
      <c r="AW76" s="80"/>
      <c r="AX76" s="80"/>
      <c r="AY76" s="80"/>
      <c r="AZ76" s="80"/>
      <c r="BA76" s="80"/>
      <c r="BB76" s="91"/>
    </row>
    <row r="77" spans="1:54" s="3" customFormat="1" ht="60.75">
      <c r="A77" s="111">
        <v>46132</v>
      </c>
      <c r="B77" s="454" t="s">
        <v>68</v>
      </c>
      <c r="C77" s="454"/>
      <c r="D77" s="455" t="s">
        <v>69</v>
      </c>
      <c r="E77" s="455"/>
      <c r="F77" s="455"/>
      <c r="G77" s="455"/>
      <c r="H77" s="455"/>
      <c r="I77" s="455"/>
      <c r="J77" s="455"/>
      <c r="K77" s="455"/>
      <c r="L77" s="455"/>
      <c r="M77" s="455"/>
      <c r="N77" s="455"/>
      <c r="O77" s="455"/>
      <c r="P77" s="455"/>
      <c r="Q77" s="455"/>
      <c r="R77" s="455"/>
      <c r="S77" s="455"/>
      <c r="T77" s="455"/>
      <c r="U77" s="455"/>
      <c r="V77" s="455"/>
      <c r="W77" s="455"/>
      <c r="X77" s="455"/>
      <c r="Y77" s="455"/>
      <c r="Z77" s="455"/>
      <c r="AA77" s="455"/>
      <c r="AB77" s="455"/>
      <c r="AC77" s="455"/>
      <c r="AD77" s="455"/>
      <c r="AE77" s="455"/>
      <c r="AF77" s="455"/>
      <c r="AG77" s="455"/>
      <c r="AH77" s="455"/>
      <c r="AI77" s="455"/>
      <c r="AJ77" s="456"/>
      <c r="AK77" s="112">
        <v>86.53</v>
      </c>
      <c r="AL77" s="113">
        <v>4</v>
      </c>
      <c r="AM77" s="135">
        <f t="shared" si="6"/>
        <v>4</v>
      </c>
      <c r="AN77" s="368" t="s">
        <v>203</v>
      </c>
      <c r="AO77" s="139">
        <f t="shared" si="4"/>
        <v>46132</v>
      </c>
      <c r="AP77" s="114" t="str">
        <f>LEFT(D77,6)</f>
        <v xml:space="preserve">SA1.1 </v>
      </c>
      <c r="AQ77" s="115" t="s">
        <v>71</v>
      </c>
      <c r="AR77" s="116" t="s">
        <v>186</v>
      </c>
      <c r="AS77" s="163" t="s">
        <v>78</v>
      </c>
      <c r="AT77" s="159" t="s">
        <v>204</v>
      </c>
      <c r="AU77" s="167"/>
      <c r="AV77" s="83"/>
      <c r="AW77" s="116"/>
      <c r="AX77" s="116"/>
      <c r="AY77" s="116"/>
      <c r="AZ77" s="116"/>
      <c r="BA77" s="116"/>
      <c r="BB77" s="121"/>
    </row>
    <row r="78" spans="1:54" s="3" customFormat="1" ht="72.599999999999994">
      <c r="A78" s="111">
        <v>46133</v>
      </c>
      <c r="B78" s="454" t="s">
        <v>68</v>
      </c>
      <c r="C78" s="454"/>
      <c r="D78" s="455" t="s">
        <v>69</v>
      </c>
      <c r="E78" s="455"/>
      <c r="F78" s="455"/>
      <c r="G78" s="455"/>
      <c r="H78" s="455"/>
      <c r="I78" s="455"/>
      <c r="J78" s="455"/>
      <c r="K78" s="455"/>
      <c r="L78" s="455"/>
      <c r="M78" s="455"/>
      <c r="N78" s="455"/>
      <c r="O78" s="455"/>
      <c r="P78" s="455"/>
      <c r="Q78" s="455"/>
      <c r="R78" s="455"/>
      <c r="S78" s="455"/>
      <c r="T78" s="455"/>
      <c r="U78" s="455"/>
      <c r="V78" s="455"/>
      <c r="W78" s="455"/>
      <c r="X78" s="455"/>
      <c r="Y78" s="455"/>
      <c r="Z78" s="455"/>
      <c r="AA78" s="455"/>
      <c r="AB78" s="455"/>
      <c r="AC78" s="455"/>
      <c r="AD78" s="455"/>
      <c r="AE78" s="455"/>
      <c r="AF78" s="455"/>
      <c r="AG78" s="455"/>
      <c r="AH78" s="455"/>
      <c r="AI78" s="455"/>
      <c r="AJ78" s="456"/>
      <c r="AK78" s="112">
        <v>86.53</v>
      </c>
      <c r="AL78" s="113">
        <v>6</v>
      </c>
      <c r="AM78" s="135">
        <f t="shared" si="6"/>
        <v>2</v>
      </c>
      <c r="AN78" s="216" t="s">
        <v>205</v>
      </c>
      <c r="AO78" s="139">
        <f>A78</f>
        <v>46133</v>
      </c>
      <c r="AP78" s="114" t="str">
        <f>LEFT(D78,6)</f>
        <v xml:space="preserve">SA1.1 </v>
      </c>
      <c r="AQ78" s="115" t="s">
        <v>76</v>
      </c>
      <c r="AR78" s="116" t="s">
        <v>206</v>
      </c>
      <c r="AS78" s="163" t="s">
        <v>78</v>
      </c>
      <c r="AT78" s="159" t="s">
        <v>207</v>
      </c>
      <c r="AU78" s="167"/>
      <c r="AV78" s="83"/>
      <c r="AW78" s="116"/>
      <c r="AX78" s="116"/>
      <c r="AY78" s="116"/>
      <c r="AZ78" s="116"/>
      <c r="BA78" s="116"/>
      <c r="BB78" s="117"/>
    </row>
    <row r="79" spans="1:54" s="3" customFormat="1" ht="43.5">
      <c r="A79" s="111">
        <v>46134</v>
      </c>
      <c r="B79" s="454" t="s">
        <v>68</v>
      </c>
      <c r="C79" s="454"/>
      <c r="D79" s="455" t="s">
        <v>69</v>
      </c>
      <c r="E79" s="455"/>
      <c r="F79" s="455"/>
      <c r="G79" s="455"/>
      <c r="H79" s="455"/>
      <c r="I79" s="455"/>
      <c r="J79" s="455"/>
      <c r="K79" s="455"/>
      <c r="L79" s="455"/>
      <c r="M79" s="455"/>
      <c r="N79" s="455"/>
      <c r="O79" s="455"/>
      <c r="P79" s="455"/>
      <c r="Q79" s="455"/>
      <c r="R79" s="455"/>
      <c r="S79" s="455"/>
      <c r="T79" s="455"/>
      <c r="U79" s="455"/>
      <c r="V79" s="455"/>
      <c r="W79" s="455"/>
      <c r="X79" s="455"/>
      <c r="Y79" s="455"/>
      <c r="Z79" s="455"/>
      <c r="AA79" s="455"/>
      <c r="AB79" s="455"/>
      <c r="AC79" s="455"/>
      <c r="AD79" s="455"/>
      <c r="AE79" s="455"/>
      <c r="AF79" s="455"/>
      <c r="AG79" s="455"/>
      <c r="AH79" s="455"/>
      <c r="AI79" s="455"/>
      <c r="AJ79" s="456"/>
      <c r="AK79" s="112">
        <v>86.53</v>
      </c>
      <c r="AL79" s="113">
        <v>4</v>
      </c>
      <c r="AM79" s="135">
        <f t="shared" si="6"/>
        <v>4</v>
      </c>
      <c r="AN79" s="145" t="s">
        <v>208</v>
      </c>
      <c r="AO79" s="139">
        <f t="shared" si="4"/>
        <v>46134</v>
      </c>
      <c r="AP79" s="114" t="str">
        <f t="shared" si="5"/>
        <v xml:space="preserve">SA1.1 </v>
      </c>
      <c r="AQ79" s="115" t="s">
        <v>76</v>
      </c>
      <c r="AR79" s="116" t="s">
        <v>77</v>
      </c>
      <c r="AS79" s="163" t="s">
        <v>78</v>
      </c>
      <c r="AT79" s="159" t="s">
        <v>209</v>
      </c>
      <c r="AU79" s="167" t="s">
        <v>110</v>
      </c>
      <c r="AV79" s="192" t="s">
        <v>210</v>
      </c>
      <c r="AW79" s="116"/>
      <c r="AX79" s="116"/>
      <c r="AY79" s="116"/>
      <c r="AZ79" s="116"/>
      <c r="BA79" s="116"/>
      <c r="BB79" s="117"/>
    </row>
    <row r="80" spans="1:54" s="3" customFormat="1" ht="137.25">
      <c r="A80" s="111">
        <v>46135</v>
      </c>
      <c r="B80" s="454" t="s">
        <v>68</v>
      </c>
      <c r="C80" s="454"/>
      <c r="D80" s="455" t="s">
        <v>69</v>
      </c>
      <c r="E80" s="455"/>
      <c r="F80" s="455"/>
      <c r="G80" s="455"/>
      <c r="H80" s="455"/>
      <c r="I80" s="455"/>
      <c r="J80" s="455"/>
      <c r="K80" s="455"/>
      <c r="L80" s="455"/>
      <c r="M80" s="455"/>
      <c r="N80" s="455"/>
      <c r="O80" s="455"/>
      <c r="P80" s="455"/>
      <c r="Q80" s="455"/>
      <c r="R80" s="455"/>
      <c r="S80" s="455"/>
      <c r="T80" s="455"/>
      <c r="U80" s="455"/>
      <c r="V80" s="455"/>
      <c r="W80" s="455"/>
      <c r="X80" s="455"/>
      <c r="Y80" s="455"/>
      <c r="Z80" s="455"/>
      <c r="AA80" s="455"/>
      <c r="AB80" s="455"/>
      <c r="AC80" s="455"/>
      <c r="AD80" s="455"/>
      <c r="AE80" s="455"/>
      <c r="AF80" s="455"/>
      <c r="AG80" s="455"/>
      <c r="AH80" s="455"/>
      <c r="AI80" s="455"/>
      <c r="AJ80" s="456"/>
      <c r="AK80" s="112">
        <v>86.53</v>
      </c>
      <c r="AL80" s="113">
        <v>4</v>
      </c>
      <c r="AM80" s="135">
        <f t="shared" si="6"/>
        <v>4</v>
      </c>
      <c r="AN80" s="369" t="s">
        <v>211</v>
      </c>
      <c r="AO80" s="139">
        <f t="shared" si="4"/>
        <v>46135</v>
      </c>
      <c r="AP80" s="114" t="str">
        <f t="shared" si="5"/>
        <v xml:space="preserve">SA1.1 </v>
      </c>
      <c r="AQ80" s="115" t="s">
        <v>76</v>
      </c>
      <c r="AR80" s="116" t="s">
        <v>77</v>
      </c>
      <c r="AS80" s="163" t="s">
        <v>78</v>
      </c>
      <c r="AT80" s="159" t="s">
        <v>212</v>
      </c>
      <c r="AU80" s="167"/>
      <c r="AV80" s="83"/>
      <c r="AW80" s="116"/>
      <c r="AX80" s="116"/>
      <c r="AY80" s="116"/>
      <c r="AZ80" s="116"/>
      <c r="BA80" s="116"/>
      <c r="BB80" s="117"/>
    </row>
    <row r="81" spans="1:54" s="3" customFormat="1" ht="111" customHeight="1">
      <c r="A81" s="111">
        <v>46136</v>
      </c>
      <c r="B81" s="454" t="s">
        <v>68</v>
      </c>
      <c r="C81" s="454"/>
      <c r="D81" s="455" t="s">
        <v>69</v>
      </c>
      <c r="E81" s="455"/>
      <c r="F81" s="455"/>
      <c r="G81" s="455"/>
      <c r="H81" s="455"/>
      <c r="I81" s="455"/>
      <c r="J81" s="455"/>
      <c r="K81" s="455"/>
      <c r="L81" s="455"/>
      <c r="M81" s="455"/>
      <c r="N81" s="455"/>
      <c r="O81" s="455"/>
      <c r="P81" s="455"/>
      <c r="Q81" s="455"/>
      <c r="R81" s="455"/>
      <c r="S81" s="455"/>
      <c r="T81" s="455"/>
      <c r="U81" s="455"/>
      <c r="V81" s="455"/>
      <c r="W81" s="455"/>
      <c r="X81" s="455"/>
      <c r="Y81" s="455"/>
      <c r="Z81" s="455"/>
      <c r="AA81" s="455"/>
      <c r="AB81" s="455"/>
      <c r="AC81" s="455"/>
      <c r="AD81" s="455"/>
      <c r="AE81" s="455"/>
      <c r="AF81" s="455"/>
      <c r="AG81" s="455"/>
      <c r="AH81" s="455"/>
      <c r="AI81" s="455"/>
      <c r="AJ81" s="456"/>
      <c r="AK81" s="112">
        <v>86.53</v>
      </c>
      <c r="AL81" s="113">
        <v>8</v>
      </c>
      <c r="AM81" s="135">
        <f t="shared" si="6"/>
        <v>0</v>
      </c>
      <c r="AN81" s="145" t="s">
        <v>213</v>
      </c>
      <c r="AO81" s="139">
        <f t="shared" si="4"/>
        <v>46136</v>
      </c>
      <c r="AP81" s="114" t="str">
        <f t="shared" si="5"/>
        <v xml:space="preserve">SA1.1 </v>
      </c>
      <c r="AQ81" s="115" t="s">
        <v>76</v>
      </c>
      <c r="AR81" s="116" t="s">
        <v>77</v>
      </c>
      <c r="AS81" s="163" t="s">
        <v>78</v>
      </c>
      <c r="AT81" s="396" t="s">
        <v>214</v>
      </c>
      <c r="AU81" s="167"/>
      <c r="AV81" s="83"/>
      <c r="AW81" s="116"/>
      <c r="AX81" s="116"/>
      <c r="AY81" s="116"/>
      <c r="AZ81" s="116"/>
      <c r="BA81" s="116"/>
      <c r="BB81" s="117"/>
    </row>
    <row r="82" spans="1:54" s="3" customFormat="1" ht="14.1" customHeight="1">
      <c r="A82" s="70">
        <v>46137</v>
      </c>
      <c r="B82" s="457"/>
      <c r="C82" s="457"/>
      <c r="D82" s="440"/>
      <c r="E82" s="440"/>
      <c r="F82" s="440"/>
      <c r="G82" s="440"/>
      <c r="H82" s="440"/>
      <c r="I82" s="440"/>
      <c r="J82" s="440"/>
      <c r="K82" s="440"/>
      <c r="L82" s="440"/>
      <c r="M82" s="440"/>
      <c r="N82" s="440"/>
      <c r="O82" s="440"/>
      <c r="P82" s="440"/>
      <c r="Q82" s="440"/>
      <c r="R82" s="440"/>
      <c r="S82" s="440"/>
      <c r="T82" s="440"/>
      <c r="U82" s="440"/>
      <c r="V82" s="440"/>
      <c r="W82" s="440"/>
      <c r="X82" s="440"/>
      <c r="Y82" s="440"/>
      <c r="Z82" s="440"/>
      <c r="AA82" s="440"/>
      <c r="AB82" s="440"/>
      <c r="AC82" s="440"/>
      <c r="AD82" s="440"/>
      <c r="AE82" s="440"/>
      <c r="AF82" s="440"/>
      <c r="AG82" s="440"/>
      <c r="AH82" s="440"/>
      <c r="AI82" s="440"/>
      <c r="AJ82" s="441"/>
      <c r="AK82" s="102"/>
      <c r="AL82" s="105"/>
      <c r="AM82" s="134"/>
      <c r="AN82" s="359"/>
      <c r="AO82" s="138">
        <f t="shared" si="4"/>
        <v>46137</v>
      </c>
      <c r="AP82" s="78" t="str">
        <f t="shared" si="5"/>
        <v/>
      </c>
      <c r="AQ82" s="79"/>
      <c r="AR82" s="80"/>
      <c r="AS82" s="162"/>
      <c r="AT82" s="156"/>
      <c r="AU82" s="166"/>
      <c r="AV82" s="72"/>
      <c r="AW82" s="80"/>
      <c r="AX82" s="80"/>
      <c r="AY82" s="80"/>
      <c r="AZ82" s="80"/>
      <c r="BA82" s="80"/>
      <c r="BB82" s="91"/>
    </row>
    <row r="83" spans="1:54" s="3" customFormat="1" ht="14.1" customHeight="1">
      <c r="A83" s="70">
        <v>46138</v>
      </c>
      <c r="B83" s="457"/>
      <c r="C83" s="457"/>
      <c r="D83" s="440"/>
      <c r="E83" s="440"/>
      <c r="F83" s="440"/>
      <c r="G83" s="440"/>
      <c r="H83" s="440"/>
      <c r="I83" s="440"/>
      <c r="J83" s="440"/>
      <c r="K83" s="440"/>
      <c r="L83" s="440"/>
      <c r="M83" s="440"/>
      <c r="N83" s="440"/>
      <c r="O83" s="440"/>
      <c r="P83" s="440"/>
      <c r="Q83" s="440"/>
      <c r="R83" s="440"/>
      <c r="S83" s="440"/>
      <c r="T83" s="440"/>
      <c r="U83" s="440"/>
      <c r="V83" s="440"/>
      <c r="W83" s="440"/>
      <c r="X83" s="440"/>
      <c r="Y83" s="440"/>
      <c r="Z83" s="440"/>
      <c r="AA83" s="440"/>
      <c r="AB83" s="440"/>
      <c r="AC83" s="440"/>
      <c r="AD83" s="440"/>
      <c r="AE83" s="440"/>
      <c r="AF83" s="440"/>
      <c r="AG83" s="440"/>
      <c r="AH83" s="440"/>
      <c r="AI83" s="440"/>
      <c r="AJ83" s="441"/>
      <c r="AK83" s="102"/>
      <c r="AL83" s="105"/>
      <c r="AM83" s="134"/>
      <c r="AN83" s="370"/>
      <c r="AO83" s="138">
        <f t="shared" si="4"/>
        <v>46138</v>
      </c>
      <c r="AP83" s="78" t="str">
        <f t="shared" si="5"/>
        <v/>
      </c>
      <c r="AQ83" s="79"/>
      <c r="AR83" s="80"/>
      <c r="AS83" s="162"/>
      <c r="AT83" s="156"/>
      <c r="AU83" s="166"/>
      <c r="AV83" s="81"/>
      <c r="AW83" s="80"/>
      <c r="AX83" s="80"/>
      <c r="AY83" s="80"/>
      <c r="AZ83" s="80"/>
      <c r="BA83" s="80"/>
      <c r="BB83" s="91"/>
    </row>
    <row r="84" spans="1:54" s="3" customFormat="1" ht="27" customHeight="1">
      <c r="A84" s="111">
        <v>46139</v>
      </c>
      <c r="B84" s="454" t="s">
        <v>68</v>
      </c>
      <c r="C84" s="454"/>
      <c r="D84" s="455" t="s">
        <v>69</v>
      </c>
      <c r="E84" s="455"/>
      <c r="F84" s="455"/>
      <c r="G84" s="455"/>
      <c r="H84" s="455"/>
      <c r="I84" s="455"/>
      <c r="J84" s="455"/>
      <c r="K84" s="455"/>
      <c r="L84" s="455"/>
      <c r="M84" s="455"/>
      <c r="N84" s="455"/>
      <c r="O84" s="455"/>
      <c r="P84" s="455"/>
      <c r="Q84" s="455"/>
      <c r="R84" s="455"/>
      <c r="S84" s="455"/>
      <c r="T84" s="455"/>
      <c r="U84" s="455"/>
      <c r="V84" s="455"/>
      <c r="W84" s="455"/>
      <c r="X84" s="455"/>
      <c r="Y84" s="455"/>
      <c r="Z84" s="455"/>
      <c r="AA84" s="455"/>
      <c r="AB84" s="455"/>
      <c r="AC84" s="455"/>
      <c r="AD84" s="455"/>
      <c r="AE84" s="455"/>
      <c r="AF84" s="455"/>
      <c r="AG84" s="455"/>
      <c r="AH84" s="455"/>
      <c r="AI84" s="455"/>
      <c r="AJ84" s="456"/>
      <c r="AK84" s="112">
        <v>86.53</v>
      </c>
      <c r="AL84" s="113">
        <v>8</v>
      </c>
      <c r="AM84" s="135">
        <f t="shared" si="6"/>
        <v>0</v>
      </c>
      <c r="AN84" s="214" t="s">
        <v>215</v>
      </c>
      <c r="AO84" s="237">
        <f>A84</f>
        <v>46139</v>
      </c>
      <c r="AP84" s="238" t="str">
        <f>LEFT(D84,6)</f>
        <v xml:space="preserve">SA1.1 </v>
      </c>
      <c r="AQ84" s="239" t="s">
        <v>71</v>
      </c>
      <c r="AR84" s="240" t="s">
        <v>216</v>
      </c>
      <c r="AS84" s="371" t="s">
        <v>78</v>
      </c>
      <c r="AT84" s="379" t="s">
        <v>217</v>
      </c>
      <c r="AU84" s="358"/>
      <c r="AV84" s="83"/>
      <c r="AW84" s="240"/>
      <c r="AX84" s="116"/>
      <c r="AY84" s="116"/>
      <c r="AZ84" s="116"/>
      <c r="BA84" s="116"/>
      <c r="BB84" s="117"/>
    </row>
    <row r="85" spans="1:54" s="3" customFormat="1" ht="27" customHeight="1">
      <c r="A85" s="111">
        <v>46140</v>
      </c>
      <c r="B85" s="454"/>
      <c r="C85" s="454"/>
      <c r="D85" s="455"/>
      <c r="E85" s="455"/>
      <c r="F85" s="455"/>
      <c r="G85" s="455"/>
      <c r="H85" s="455"/>
      <c r="I85" s="455"/>
      <c r="J85" s="455"/>
      <c r="K85" s="455"/>
      <c r="L85" s="455"/>
      <c r="M85" s="455"/>
      <c r="N85" s="455"/>
      <c r="O85" s="455"/>
      <c r="P85" s="455"/>
      <c r="Q85" s="455"/>
      <c r="R85" s="455"/>
      <c r="S85" s="455"/>
      <c r="T85" s="455"/>
      <c r="U85" s="455"/>
      <c r="V85" s="455"/>
      <c r="W85" s="455"/>
      <c r="X85" s="455"/>
      <c r="Y85" s="455"/>
      <c r="Z85" s="455"/>
      <c r="AA85" s="455"/>
      <c r="AB85" s="455"/>
      <c r="AC85" s="455"/>
      <c r="AD85" s="455"/>
      <c r="AE85" s="455"/>
      <c r="AF85" s="455"/>
      <c r="AG85" s="455"/>
      <c r="AH85" s="455"/>
      <c r="AI85" s="455"/>
      <c r="AJ85" s="456"/>
      <c r="AK85" s="112"/>
      <c r="AL85" s="113"/>
      <c r="AM85" s="135">
        <f t="shared" si="6"/>
        <v>8</v>
      </c>
      <c r="AN85" s="214" t="s">
        <v>218</v>
      </c>
      <c r="AO85" s="237">
        <f>A85</f>
        <v>46140</v>
      </c>
      <c r="AP85" s="238" t="str">
        <f>LEFT(D85,6)</f>
        <v/>
      </c>
      <c r="AQ85" s="239"/>
      <c r="AR85" s="240"/>
      <c r="AS85" s="371"/>
      <c r="AT85" s="380"/>
      <c r="AU85" s="358"/>
      <c r="AV85" s="83"/>
      <c r="AW85" s="240"/>
      <c r="AX85" s="116"/>
      <c r="AY85" s="116"/>
      <c r="AZ85" s="116"/>
      <c r="BA85" s="116"/>
      <c r="BB85" s="117"/>
    </row>
    <row r="86" spans="1:54" s="3" customFormat="1" ht="27" customHeight="1">
      <c r="A86" s="111">
        <v>46141</v>
      </c>
      <c r="B86" s="454"/>
      <c r="C86" s="454"/>
      <c r="D86" s="455"/>
      <c r="E86" s="455"/>
      <c r="F86" s="455"/>
      <c r="G86" s="455"/>
      <c r="H86" s="455"/>
      <c r="I86" s="455"/>
      <c r="J86" s="455"/>
      <c r="K86" s="455"/>
      <c r="L86" s="455"/>
      <c r="M86" s="455"/>
      <c r="N86" s="455"/>
      <c r="O86" s="455"/>
      <c r="P86" s="455"/>
      <c r="Q86" s="455"/>
      <c r="R86" s="455"/>
      <c r="S86" s="455"/>
      <c r="T86" s="455"/>
      <c r="U86" s="455"/>
      <c r="V86" s="455"/>
      <c r="W86" s="455"/>
      <c r="X86" s="455"/>
      <c r="Y86" s="455"/>
      <c r="Z86" s="455"/>
      <c r="AA86" s="455"/>
      <c r="AB86" s="455"/>
      <c r="AC86" s="455"/>
      <c r="AD86" s="455"/>
      <c r="AE86" s="455"/>
      <c r="AF86" s="455"/>
      <c r="AG86" s="455"/>
      <c r="AH86" s="455"/>
      <c r="AI86" s="455"/>
      <c r="AJ86" s="456"/>
      <c r="AK86" s="112"/>
      <c r="AL86" s="113"/>
      <c r="AM86" s="135">
        <f t="shared" si="6"/>
        <v>8</v>
      </c>
      <c r="AN86" s="216"/>
      <c r="AO86" s="237">
        <f>A86</f>
        <v>46141</v>
      </c>
      <c r="AP86" s="238" t="str">
        <f>LEFT(D86,6)</f>
        <v/>
      </c>
      <c r="AQ86" s="239"/>
      <c r="AR86" s="240"/>
      <c r="AS86" s="371"/>
      <c r="AT86" s="385"/>
      <c r="AU86" s="358"/>
      <c r="AV86" s="83"/>
      <c r="AW86" s="240"/>
      <c r="AX86" s="116"/>
      <c r="AY86" s="116"/>
      <c r="AZ86" s="116"/>
      <c r="BA86" s="116"/>
      <c r="BB86" s="117"/>
    </row>
    <row r="87" spans="1:54" s="3" customFormat="1" ht="27" customHeight="1">
      <c r="A87" s="247">
        <v>46142</v>
      </c>
      <c r="B87" s="571" t="s">
        <v>68</v>
      </c>
      <c r="C87" s="572"/>
      <c r="D87" s="573" t="s">
        <v>69</v>
      </c>
      <c r="E87" s="573"/>
      <c r="F87" s="573"/>
      <c r="G87" s="573"/>
      <c r="H87" s="573"/>
      <c r="I87" s="573"/>
      <c r="J87" s="573"/>
      <c r="K87" s="573"/>
      <c r="L87" s="573"/>
      <c r="M87" s="573"/>
      <c r="N87" s="573"/>
      <c r="O87" s="573"/>
      <c r="P87" s="573"/>
      <c r="Q87" s="573"/>
      <c r="R87" s="573"/>
      <c r="S87" s="573"/>
      <c r="T87" s="573"/>
      <c r="U87" s="573"/>
      <c r="V87" s="573"/>
      <c r="W87" s="573"/>
      <c r="X87" s="573"/>
      <c r="Y87" s="573"/>
      <c r="Z87" s="573"/>
      <c r="AA87" s="573"/>
      <c r="AB87" s="573"/>
      <c r="AC87" s="573"/>
      <c r="AD87" s="573"/>
      <c r="AE87" s="573"/>
      <c r="AF87" s="573"/>
      <c r="AG87" s="573"/>
      <c r="AH87" s="573"/>
      <c r="AI87" s="573"/>
      <c r="AJ87" s="574"/>
      <c r="AK87" s="248">
        <v>86.53</v>
      </c>
      <c r="AL87" s="301">
        <v>2</v>
      </c>
      <c r="AM87" s="135">
        <f t="shared" si="6"/>
        <v>6</v>
      </c>
      <c r="AN87" s="372" t="s">
        <v>117</v>
      </c>
      <c r="AO87" s="249">
        <f t="shared" si="4"/>
        <v>46142</v>
      </c>
      <c r="AP87" s="250" t="str">
        <f t="shared" si="5"/>
        <v xml:space="preserve">SA1.1 </v>
      </c>
      <c r="AQ87" s="251"/>
      <c r="AR87" s="252"/>
      <c r="AS87" s="376"/>
      <c r="AT87" s="384"/>
      <c r="AU87" s="378"/>
      <c r="AV87" s="253"/>
      <c r="AW87" s="252"/>
      <c r="AX87" s="252"/>
      <c r="AY87" s="252"/>
      <c r="AZ87" s="252"/>
      <c r="BA87" s="252"/>
      <c r="BB87" s="254"/>
    </row>
    <row r="88" spans="1:54" s="3" customFormat="1" ht="15" customHeight="1">
      <c r="A88" s="446" t="s">
        <v>118</v>
      </c>
      <c r="B88" s="447"/>
      <c r="C88" s="447"/>
      <c r="D88" s="447"/>
      <c r="E88" s="447"/>
      <c r="F88" s="447"/>
      <c r="G88" s="447"/>
      <c r="H88" s="447"/>
      <c r="I88" s="447"/>
      <c r="J88" s="447"/>
      <c r="K88" s="447"/>
      <c r="L88" s="447"/>
      <c r="M88" s="447"/>
      <c r="N88" s="447"/>
      <c r="O88" s="447"/>
      <c r="P88" s="447"/>
      <c r="Q88" s="447"/>
      <c r="R88" s="447"/>
      <c r="S88" s="447"/>
      <c r="T88" s="447"/>
      <c r="U88" s="447"/>
      <c r="V88" s="447"/>
      <c r="W88" s="447"/>
      <c r="X88" s="447"/>
      <c r="Y88" s="447"/>
      <c r="Z88" s="447"/>
      <c r="AA88" s="447"/>
      <c r="AB88" s="447"/>
      <c r="AC88" s="447"/>
      <c r="AD88" s="447"/>
      <c r="AE88" s="447"/>
      <c r="AF88" s="447"/>
      <c r="AG88" s="447"/>
      <c r="AH88" s="447"/>
      <c r="AI88" s="447"/>
      <c r="AJ88" s="447"/>
      <c r="AK88" s="447"/>
      <c r="AL88" s="74">
        <f>SUM(AL58:AL87)+COUNTIF(AL58:AL87,"CO")*4</f>
        <v>73</v>
      </c>
      <c r="AM88" s="74">
        <f>SUM(AM58:AM87) + COUNTIF(AM58:AM87, "CO")*4</f>
        <v>87</v>
      </c>
      <c r="AO88" s="17"/>
      <c r="AP88" s="17"/>
      <c r="AT88" s="48"/>
      <c r="AV88" s="48"/>
    </row>
    <row r="89" spans="1:54" s="3" customFormat="1" ht="14.1" customHeight="1">
      <c r="A89" s="448" t="s">
        <v>119</v>
      </c>
      <c r="B89" s="449"/>
      <c r="C89" s="449"/>
      <c r="D89" s="449"/>
      <c r="E89" s="449"/>
      <c r="F89" s="449"/>
      <c r="G89" s="449"/>
      <c r="H89" s="449"/>
      <c r="I89" s="449"/>
      <c r="J89" s="449"/>
      <c r="K89" s="449"/>
      <c r="L89" s="449"/>
      <c r="M89" s="449"/>
      <c r="N89" s="449"/>
      <c r="O89" s="449"/>
      <c r="P89" s="449"/>
      <c r="Q89" s="449"/>
      <c r="R89" s="449"/>
      <c r="S89" s="449"/>
      <c r="T89" s="449"/>
      <c r="U89" s="449"/>
      <c r="V89" s="449"/>
      <c r="W89" s="449"/>
      <c r="X89" s="449"/>
      <c r="Y89" s="449"/>
      <c r="Z89" s="449"/>
      <c r="AA89" s="449"/>
      <c r="AB89" s="449"/>
      <c r="AC89" s="449"/>
      <c r="AD89" s="449"/>
      <c r="AE89" s="449"/>
      <c r="AF89" s="449"/>
      <c r="AG89" s="449"/>
      <c r="AH89" s="449"/>
      <c r="AI89" s="449"/>
      <c r="AJ89" s="449"/>
      <c r="AK89" s="449"/>
      <c r="AL89" s="449"/>
      <c r="AM89" s="450"/>
      <c r="AO89" s="17"/>
      <c r="AP89" s="17"/>
      <c r="AT89" s="48"/>
      <c r="AV89" s="48"/>
    </row>
    <row r="90" spans="1:54" s="3" customFormat="1" ht="14.85" customHeight="1" thickBot="1">
      <c r="A90" s="451"/>
      <c r="B90" s="452"/>
      <c r="C90" s="452"/>
      <c r="D90" s="452"/>
      <c r="E90" s="452"/>
      <c r="F90" s="452"/>
      <c r="G90" s="452"/>
      <c r="H90" s="452"/>
      <c r="I90" s="452"/>
      <c r="J90" s="452"/>
      <c r="K90" s="452"/>
      <c r="L90" s="452"/>
      <c r="M90" s="452"/>
      <c r="N90" s="452"/>
      <c r="O90" s="452"/>
      <c r="P90" s="452"/>
      <c r="Q90" s="452"/>
      <c r="R90" s="452"/>
      <c r="S90" s="452"/>
      <c r="T90" s="452"/>
      <c r="U90" s="452"/>
      <c r="V90" s="452"/>
      <c r="W90" s="452"/>
      <c r="X90" s="452"/>
      <c r="Y90" s="452"/>
      <c r="Z90" s="452"/>
      <c r="AA90" s="452"/>
      <c r="AB90" s="452"/>
      <c r="AC90" s="452"/>
      <c r="AD90" s="452"/>
      <c r="AE90" s="452"/>
      <c r="AF90" s="452"/>
      <c r="AG90" s="452"/>
      <c r="AH90" s="452"/>
      <c r="AI90" s="452"/>
      <c r="AJ90" s="452"/>
      <c r="AK90" s="452"/>
      <c r="AL90" s="452"/>
      <c r="AM90" s="453"/>
      <c r="AO90" s="17"/>
      <c r="AP90" s="17"/>
      <c r="AQ90" s="3" t="s">
        <v>36</v>
      </c>
      <c r="AT90" s="48"/>
      <c r="AV90" s="48"/>
    </row>
    <row r="91" spans="1:54" s="3" customFormat="1" ht="29.1" customHeight="1">
      <c r="A91" s="431" t="s">
        <v>120</v>
      </c>
      <c r="B91" s="432"/>
      <c r="C91" s="432"/>
      <c r="D91" s="433" t="s">
        <v>38</v>
      </c>
      <c r="E91" s="434"/>
      <c r="F91" s="434"/>
      <c r="G91" s="434"/>
      <c r="H91" s="434"/>
      <c r="I91" s="434"/>
      <c r="J91" s="434"/>
      <c r="K91" s="434"/>
      <c r="L91" s="434"/>
      <c r="M91" s="434"/>
      <c r="N91" s="434"/>
      <c r="O91" s="434"/>
      <c r="P91" s="434"/>
      <c r="Q91" s="434"/>
      <c r="R91" s="434"/>
      <c r="S91" s="434"/>
      <c r="T91" s="434"/>
      <c r="U91" s="434"/>
      <c r="V91" s="434"/>
      <c r="W91" s="434"/>
      <c r="X91" s="434"/>
      <c r="Y91" s="434"/>
      <c r="Z91" s="434"/>
      <c r="AA91" s="434"/>
      <c r="AB91" s="434"/>
      <c r="AC91" s="434"/>
      <c r="AD91" s="434"/>
      <c r="AE91" s="434"/>
      <c r="AF91" s="434"/>
      <c r="AG91" s="434"/>
      <c r="AH91" s="434"/>
      <c r="AI91" s="434"/>
      <c r="AJ91" s="434"/>
      <c r="AK91" s="434"/>
      <c r="AL91" s="434"/>
      <c r="AM91" s="435"/>
      <c r="AN91" s="3" t="s">
        <v>99</v>
      </c>
      <c r="AO91" s="17" t="s">
        <v>36</v>
      </c>
      <c r="AP91" s="17"/>
      <c r="AT91" s="48"/>
      <c r="AV91" s="48"/>
    </row>
    <row r="92" spans="1:54" s="3" customFormat="1" ht="29.1" customHeight="1">
      <c r="A92" s="420" t="s">
        <v>121</v>
      </c>
      <c r="B92" s="421"/>
      <c r="C92" s="421"/>
      <c r="D92" s="428"/>
      <c r="E92" s="429"/>
      <c r="F92" s="429"/>
      <c r="G92" s="429"/>
      <c r="H92" s="429"/>
      <c r="I92" s="429"/>
      <c r="J92" s="429"/>
      <c r="K92" s="429"/>
      <c r="L92" s="429"/>
      <c r="M92" s="429"/>
      <c r="N92" s="429"/>
      <c r="O92" s="429"/>
      <c r="P92" s="429"/>
      <c r="Q92" s="429"/>
      <c r="R92" s="429"/>
      <c r="S92" s="429"/>
      <c r="T92" s="429"/>
      <c r="U92" s="429"/>
      <c r="V92" s="429"/>
      <c r="W92" s="429"/>
      <c r="X92" s="429"/>
      <c r="Y92" s="429"/>
      <c r="Z92" s="429"/>
      <c r="AA92" s="429"/>
      <c r="AB92" s="429"/>
      <c r="AC92" s="429"/>
      <c r="AD92" s="429"/>
      <c r="AE92" s="429"/>
      <c r="AF92" s="429"/>
      <c r="AG92" s="429"/>
      <c r="AH92" s="429"/>
      <c r="AI92" s="429"/>
      <c r="AJ92" s="429"/>
      <c r="AK92" s="429"/>
      <c r="AL92" s="429"/>
      <c r="AM92" s="430"/>
      <c r="AO92" s="17"/>
      <c r="AP92" s="17"/>
      <c r="AT92" s="48"/>
      <c r="AV92" s="48"/>
    </row>
    <row r="93" spans="1:54" s="3" customFormat="1" ht="29.1" customHeight="1">
      <c r="A93" s="420" t="s">
        <v>122</v>
      </c>
      <c r="B93" s="421"/>
      <c r="C93" s="421"/>
      <c r="D93" s="436">
        <v>46142</v>
      </c>
      <c r="E93" s="437">
        <v>46142</v>
      </c>
      <c r="F93" s="437">
        <v>46142</v>
      </c>
      <c r="G93" s="437">
        <v>46142</v>
      </c>
      <c r="H93" s="437">
        <v>46142</v>
      </c>
      <c r="I93" s="437">
        <v>46142</v>
      </c>
      <c r="J93" s="437">
        <v>46142</v>
      </c>
      <c r="K93" s="437">
        <v>46142</v>
      </c>
      <c r="L93" s="437">
        <v>46142</v>
      </c>
      <c r="M93" s="437">
        <v>46142</v>
      </c>
      <c r="N93" s="437">
        <v>46142</v>
      </c>
      <c r="O93" s="437">
        <v>46142</v>
      </c>
      <c r="P93" s="437">
        <v>46142</v>
      </c>
      <c r="Q93" s="437">
        <v>46142</v>
      </c>
      <c r="R93" s="437">
        <v>46142</v>
      </c>
      <c r="S93" s="437">
        <v>46142</v>
      </c>
      <c r="T93" s="437">
        <v>46142</v>
      </c>
      <c r="U93" s="437">
        <v>46142</v>
      </c>
      <c r="V93" s="437">
        <v>46142</v>
      </c>
      <c r="W93" s="437">
        <v>46142</v>
      </c>
      <c r="X93" s="437">
        <v>46142</v>
      </c>
      <c r="Y93" s="437">
        <v>46142</v>
      </c>
      <c r="Z93" s="437">
        <v>46142</v>
      </c>
      <c r="AA93" s="437">
        <v>46142</v>
      </c>
      <c r="AB93" s="437">
        <v>46142</v>
      </c>
      <c r="AC93" s="437">
        <v>46142</v>
      </c>
      <c r="AD93" s="437">
        <v>46142</v>
      </c>
      <c r="AE93" s="437">
        <v>46142</v>
      </c>
      <c r="AF93" s="437">
        <v>46142</v>
      </c>
      <c r="AG93" s="437">
        <v>46142</v>
      </c>
      <c r="AH93" s="437">
        <v>46142</v>
      </c>
      <c r="AI93" s="437">
        <v>46142</v>
      </c>
      <c r="AJ93" s="437">
        <v>46142</v>
      </c>
      <c r="AK93" s="437">
        <v>46142</v>
      </c>
      <c r="AL93" s="437">
        <v>46142</v>
      </c>
      <c r="AM93" s="438">
        <v>46142</v>
      </c>
      <c r="AO93" s="17" t="s">
        <v>36</v>
      </c>
      <c r="AP93" s="17"/>
      <c r="AT93" s="48"/>
      <c r="AV93" s="48"/>
    </row>
    <row r="94" spans="1:54" s="3" customFormat="1" ht="12.95">
      <c r="A94" s="420"/>
      <c r="B94" s="421"/>
      <c r="C94" s="421"/>
      <c r="D94" s="422"/>
      <c r="E94" s="423"/>
      <c r="F94" s="423"/>
      <c r="G94" s="423"/>
      <c r="H94" s="423"/>
      <c r="I94" s="423"/>
      <c r="J94" s="423"/>
      <c r="K94" s="423"/>
      <c r="L94" s="423"/>
      <c r="M94" s="423"/>
      <c r="N94" s="423"/>
      <c r="O94" s="423"/>
      <c r="P94" s="423"/>
      <c r="Q94" s="423"/>
      <c r="R94" s="423"/>
      <c r="S94" s="423"/>
      <c r="T94" s="423"/>
      <c r="U94" s="423"/>
      <c r="V94" s="423"/>
      <c r="W94" s="423"/>
      <c r="X94" s="423"/>
      <c r="Y94" s="423"/>
      <c r="Z94" s="423"/>
      <c r="AA94" s="423"/>
      <c r="AB94" s="423"/>
      <c r="AC94" s="423"/>
      <c r="AD94" s="423"/>
      <c r="AE94" s="423"/>
      <c r="AF94" s="423"/>
      <c r="AG94" s="423"/>
      <c r="AH94" s="423"/>
      <c r="AI94" s="423"/>
      <c r="AJ94" s="423"/>
      <c r="AK94" s="423"/>
      <c r="AL94" s="423"/>
      <c r="AM94" s="424"/>
      <c r="AO94" s="17"/>
      <c r="AP94" s="17"/>
      <c r="AT94" s="48"/>
      <c r="AV94" s="48"/>
    </row>
    <row r="95" spans="1:54" s="3" customFormat="1" ht="29.1" customHeight="1">
      <c r="A95" s="420" t="s">
        <v>123</v>
      </c>
      <c r="B95" s="421"/>
      <c r="C95" s="421"/>
      <c r="D95" s="425" t="s">
        <v>124</v>
      </c>
      <c r="E95" s="426"/>
      <c r="F95" s="426"/>
      <c r="G95" s="426"/>
      <c r="H95" s="426"/>
      <c r="I95" s="426"/>
      <c r="J95" s="426"/>
      <c r="K95" s="426"/>
      <c r="L95" s="426"/>
      <c r="M95" s="426"/>
      <c r="N95" s="426"/>
      <c r="O95" s="426"/>
      <c r="P95" s="426"/>
      <c r="Q95" s="426"/>
      <c r="R95" s="426"/>
      <c r="S95" s="426"/>
      <c r="T95" s="426"/>
      <c r="U95" s="426"/>
      <c r="V95" s="426"/>
      <c r="W95" s="426"/>
      <c r="X95" s="426"/>
      <c r="Y95" s="426"/>
      <c r="Z95" s="426"/>
      <c r="AA95" s="426"/>
      <c r="AB95" s="426"/>
      <c r="AC95" s="426"/>
      <c r="AD95" s="426"/>
      <c r="AE95" s="426"/>
      <c r="AF95" s="426"/>
      <c r="AG95" s="426"/>
      <c r="AH95" s="426"/>
      <c r="AI95" s="426"/>
      <c r="AJ95" s="426"/>
      <c r="AK95" s="426"/>
      <c r="AL95" s="426"/>
      <c r="AM95" s="427"/>
      <c r="AO95" s="17"/>
      <c r="AP95" s="17"/>
      <c r="AT95" s="48"/>
      <c r="AV95" s="48"/>
    </row>
    <row r="96" spans="1:54" s="3" customFormat="1" ht="29.1" customHeight="1">
      <c r="A96" s="420" t="s">
        <v>121</v>
      </c>
      <c r="B96" s="421"/>
      <c r="C96" s="421"/>
      <c r="D96" s="428"/>
      <c r="E96" s="429"/>
      <c r="F96" s="429"/>
      <c r="G96" s="429"/>
      <c r="H96" s="429"/>
      <c r="I96" s="429"/>
      <c r="J96" s="429"/>
      <c r="K96" s="429"/>
      <c r="L96" s="429"/>
      <c r="M96" s="429"/>
      <c r="N96" s="429"/>
      <c r="O96" s="429"/>
      <c r="P96" s="429"/>
      <c r="Q96" s="429"/>
      <c r="R96" s="429"/>
      <c r="S96" s="429"/>
      <c r="T96" s="429"/>
      <c r="U96" s="429"/>
      <c r="V96" s="429"/>
      <c r="W96" s="429"/>
      <c r="X96" s="429"/>
      <c r="Y96" s="429"/>
      <c r="Z96" s="429"/>
      <c r="AA96" s="429"/>
      <c r="AB96" s="429"/>
      <c r="AC96" s="429"/>
      <c r="AD96" s="429"/>
      <c r="AE96" s="429"/>
      <c r="AF96" s="429"/>
      <c r="AG96" s="429"/>
      <c r="AH96" s="429"/>
      <c r="AI96" s="429"/>
      <c r="AJ96" s="429"/>
      <c r="AK96" s="429"/>
      <c r="AL96" s="429"/>
      <c r="AM96" s="430"/>
      <c r="AO96" s="17"/>
      <c r="AP96" s="17"/>
      <c r="AR96" s="3" t="s">
        <v>99</v>
      </c>
      <c r="AT96" s="48"/>
      <c r="AV96" s="48"/>
    </row>
    <row r="97" spans="1:48" s="3" customFormat="1" ht="29.1" customHeight="1" thickBot="1">
      <c r="A97" s="414" t="s">
        <v>122</v>
      </c>
      <c r="B97" s="415"/>
      <c r="C97" s="415"/>
      <c r="D97" s="416">
        <v>46142</v>
      </c>
      <c r="E97" s="417">
        <v>46142</v>
      </c>
      <c r="F97" s="417">
        <v>46142</v>
      </c>
      <c r="G97" s="417">
        <v>46142</v>
      </c>
      <c r="H97" s="417">
        <v>46142</v>
      </c>
      <c r="I97" s="417">
        <v>46142</v>
      </c>
      <c r="J97" s="417">
        <v>46142</v>
      </c>
      <c r="K97" s="417">
        <v>46142</v>
      </c>
      <c r="L97" s="417">
        <v>46142</v>
      </c>
      <c r="M97" s="417">
        <v>46142</v>
      </c>
      <c r="N97" s="417">
        <v>46142</v>
      </c>
      <c r="O97" s="417">
        <v>46142</v>
      </c>
      <c r="P97" s="417">
        <v>46142</v>
      </c>
      <c r="Q97" s="417">
        <v>46142</v>
      </c>
      <c r="R97" s="417">
        <v>46142</v>
      </c>
      <c r="S97" s="417">
        <v>46142</v>
      </c>
      <c r="T97" s="417">
        <v>46142</v>
      </c>
      <c r="U97" s="417">
        <v>46142</v>
      </c>
      <c r="V97" s="417">
        <v>46142</v>
      </c>
      <c r="W97" s="417">
        <v>46142</v>
      </c>
      <c r="X97" s="417">
        <v>46142</v>
      </c>
      <c r="Y97" s="417">
        <v>46142</v>
      </c>
      <c r="Z97" s="417">
        <v>46142</v>
      </c>
      <c r="AA97" s="417">
        <v>46142</v>
      </c>
      <c r="AB97" s="417">
        <v>46142</v>
      </c>
      <c r="AC97" s="417">
        <v>46142</v>
      </c>
      <c r="AD97" s="417">
        <v>46142</v>
      </c>
      <c r="AE97" s="417">
        <v>46142</v>
      </c>
      <c r="AF97" s="417">
        <v>46142</v>
      </c>
      <c r="AG97" s="417">
        <v>46142</v>
      </c>
      <c r="AH97" s="417">
        <v>46142</v>
      </c>
      <c r="AI97" s="417">
        <v>46142</v>
      </c>
      <c r="AJ97" s="417">
        <v>46142</v>
      </c>
      <c r="AK97" s="417">
        <v>46142</v>
      </c>
      <c r="AL97" s="417">
        <v>46142</v>
      </c>
      <c r="AM97" s="418">
        <v>46142</v>
      </c>
      <c r="AO97" s="17"/>
      <c r="AP97" s="17"/>
      <c r="AT97" s="48"/>
      <c r="AV97" s="48"/>
    </row>
    <row r="98" spans="1:48" s="3" customFormat="1" ht="12.95">
      <c r="A98" s="419"/>
      <c r="B98" s="419"/>
      <c r="C98" s="419"/>
      <c r="AO98" s="17"/>
      <c r="AP98" s="17"/>
      <c r="AT98" s="48"/>
      <c r="AV98" s="48"/>
    </row>
    <row r="99" spans="1:48" s="3" customFormat="1" ht="12.95">
      <c r="A99" s="5"/>
      <c r="AO99" s="17"/>
      <c r="AP99" s="17"/>
      <c r="AT99" s="48"/>
      <c r="AV99" s="48"/>
    </row>
    <row r="100" spans="1:48" s="3" customFormat="1" ht="12.95">
      <c r="A100" s="5"/>
      <c r="AO100" s="17"/>
      <c r="AP100" s="17"/>
      <c r="AT100" s="48"/>
      <c r="AV100" s="48"/>
    </row>
    <row r="101" spans="1:48" s="3" customFormat="1" ht="12.95">
      <c r="A101" s="5"/>
      <c r="AO101" s="17"/>
      <c r="AP101" s="17"/>
      <c r="AT101" s="48"/>
      <c r="AV101" s="48"/>
    </row>
    <row r="102" spans="1:48" s="3" customFormat="1" ht="12.95">
      <c r="A102" s="5"/>
      <c r="AO102" s="17"/>
      <c r="AP102" s="17"/>
      <c r="AT102" s="48"/>
      <c r="AV102" s="48"/>
    </row>
    <row r="103" spans="1:48" s="3" customFormat="1" ht="12.95">
      <c r="A103" s="5"/>
      <c r="AO103" s="17"/>
      <c r="AP103" s="17"/>
      <c r="AT103" s="48"/>
      <c r="AV103" s="48"/>
    </row>
    <row r="104" spans="1:48" s="3" customFormat="1" ht="12.95">
      <c r="A104" s="5"/>
      <c r="AO104" s="17"/>
      <c r="AP104" s="17"/>
      <c r="AT104" s="48"/>
      <c r="AV104" s="48"/>
    </row>
    <row r="105" spans="1:48" s="3" customFormat="1" ht="12.95">
      <c r="A105" s="5"/>
      <c r="AO105" s="17"/>
      <c r="AP105" s="17"/>
      <c r="AT105" s="48"/>
      <c r="AV105" s="48"/>
    </row>
    <row r="106" spans="1:48" s="3" customFormat="1" ht="12.95">
      <c r="A106" s="5"/>
      <c r="AO106" s="17"/>
      <c r="AP106" s="17"/>
      <c r="AT106" s="48"/>
      <c r="AV106" s="48"/>
    </row>
    <row r="107" spans="1:48" s="3" customFormat="1" ht="12.95">
      <c r="A107" s="5"/>
      <c r="AO107" s="17"/>
      <c r="AP107" s="17"/>
      <c r="AT107" s="48"/>
      <c r="AV107" s="48"/>
    </row>
    <row r="108" spans="1:48" s="3" customFormat="1" ht="12.95">
      <c r="A108" s="5"/>
      <c r="AO108" s="17"/>
      <c r="AP108" s="17"/>
      <c r="AT108" s="48"/>
      <c r="AV108" s="48"/>
    </row>
    <row r="109" spans="1:48" s="3" customFormat="1" ht="12.95">
      <c r="A109" s="5"/>
      <c r="AO109" s="17"/>
      <c r="AP109" s="17"/>
      <c r="AT109" s="48"/>
      <c r="AV109" s="48"/>
    </row>
    <row r="110" spans="1:48" s="3" customFormat="1" ht="12.95">
      <c r="A110" s="5"/>
      <c r="AO110" s="17"/>
      <c r="AP110" s="17"/>
      <c r="AT110" s="48"/>
      <c r="AV110" s="48"/>
    </row>
    <row r="111" spans="1:48" s="3" customFormat="1" ht="12.95">
      <c r="A111" s="5"/>
      <c r="AO111" s="17"/>
      <c r="AP111" s="17"/>
      <c r="AT111" s="48"/>
      <c r="AV111" s="48"/>
    </row>
    <row r="112" spans="1:48" s="3" customFormat="1" ht="12.95">
      <c r="A112" s="5"/>
      <c r="AO112" s="17"/>
      <c r="AP112" s="17"/>
      <c r="AT112" s="48"/>
      <c r="AV112" s="48"/>
    </row>
    <row r="113" spans="1:48" s="3" customFormat="1" ht="12.95">
      <c r="A113" s="5"/>
      <c r="AO113" s="17"/>
      <c r="AP113" s="17"/>
      <c r="AT113" s="48"/>
      <c r="AV113" s="48"/>
    </row>
    <row r="114" spans="1:48" s="3" customFormat="1" ht="12.95">
      <c r="A114" s="5"/>
      <c r="AO114" s="17"/>
      <c r="AP114" s="17"/>
      <c r="AT114" s="48"/>
      <c r="AV114" s="48"/>
    </row>
    <row r="115" spans="1:48" s="3" customFormat="1" ht="12.95">
      <c r="A115" s="5"/>
      <c r="AO115" s="17"/>
      <c r="AP115" s="17"/>
      <c r="AT115" s="48"/>
      <c r="AV115" s="48"/>
    </row>
    <row r="116" spans="1:48" s="3" customFormat="1" ht="12.95">
      <c r="A116" s="5"/>
      <c r="AO116" s="17"/>
      <c r="AP116" s="17"/>
      <c r="AT116" s="48"/>
      <c r="AV116" s="48"/>
    </row>
    <row r="117" spans="1:48" s="3" customFormat="1" ht="12.95">
      <c r="A117" s="5"/>
      <c r="AO117" s="17"/>
      <c r="AP117" s="17"/>
      <c r="AT117" s="48"/>
      <c r="AV117" s="48"/>
    </row>
    <row r="118" spans="1:48" s="3" customFormat="1" ht="12.95">
      <c r="A118" s="5"/>
      <c r="AO118" s="17"/>
      <c r="AP118" s="17"/>
      <c r="AT118" s="48"/>
      <c r="AV118" s="48"/>
    </row>
    <row r="119" spans="1:48" s="3" customFormat="1" ht="12.95">
      <c r="A119" s="5"/>
      <c r="AO119" s="17"/>
      <c r="AP119" s="17"/>
      <c r="AT119" s="48"/>
      <c r="AV119" s="48"/>
    </row>
    <row r="120" spans="1:48" s="3" customFormat="1" ht="12.95">
      <c r="A120" s="5"/>
      <c r="AO120" s="17"/>
      <c r="AP120" s="17"/>
      <c r="AT120" s="48"/>
      <c r="AV120" s="48"/>
    </row>
    <row r="121" spans="1:48" s="3" customFormat="1" ht="12.95">
      <c r="A121" s="5"/>
      <c r="AO121" s="17"/>
      <c r="AP121" s="17"/>
      <c r="AT121" s="48"/>
      <c r="AV121" s="48"/>
    </row>
    <row r="122" spans="1:48" s="3" customFormat="1" ht="12.95">
      <c r="A122" s="5"/>
      <c r="AO122" s="17"/>
      <c r="AP122" s="17"/>
      <c r="AT122" s="48"/>
      <c r="AV122" s="48"/>
    </row>
    <row r="123" spans="1:48" s="3" customFormat="1" ht="12.95">
      <c r="A123" s="5"/>
      <c r="AO123" s="17"/>
      <c r="AP123" s="17"/>
      <c r="AT123" s="48"/>
      <c r="AV123" s="48"/>
    </row>
    <row r="124" spans="1:48" s="3" customFormat="1" ht="12.95">
      <c r="A124" s="5"/>
      <c r="AO124" s="17"/>
      <c r="AP124" s="17"/>
      <c r="AT124" s="48"/>
      <c r="AV124" s="48"/>
    </row>
    <row r="125" spans="1:48" s="3" customFormat="1" ht="12.95">
      <c r="A125" s="5"/>
      <c r="AO125" s="17"/>
      <c r="AP125" s="17"/>
      <c r="AT125" s="48"/>
      <c r="AV125" s="48"/>
    </row>
    <row r="126" spans="1:48" s="3" customFormat="1" ht="12.95">
      <c r="A126" s="5"/>
      <c r="AO126" s="17"/>
      <c r="AP126" s="17"/>
      <c r="AT126" s="48"/>
      <c r="AV126" s="48"/>
    </row>
    <row r="127" spans="1:48" s="3" customFormat="1" ht="12.95">
      <c r="A127" s="5"/>
      <c r="AO127" s="17"/>
      <c r="AP127" s="17"/>
      <c r="AT127" s="48"/>
      <c r="AV127" s="48"/>
    </row>
    <row r="128" spans="1:48" s="3" customFormat="1" ht="12.95">
      <c r="A128" s="5"/>
      <c r="AO128" s="17"/>
      <c r="AP128" s="17"/>
      <c r="AT128" s="48"/>
      <c r="AV128" s="48"/>
    </row>
    <row r="129" spans="1:48" s="3" customFormat="1" ht="12.95">
      <c r="A129" s="5"/>
      <c r="AO129" s="17"/>
      <c r="AP129" s="17"/>
      <c r="AT129" s="48"/>
      <c r="AV129" s="48"/>
    </row>
    <row r="130" spans="1:48" s="3" customFormat="1" ht="12.95">
      <c r="A130" s="5"/>
      <c r="AO130" s="17"/>
      <c r="AP130" s="17"/>
      <c r="AT130" s="48"/>
      <c r="AV130" s="48"/>
    </row>
    <row r="131" spans="1:48" s="3" customFormat="1" ht="12.95">
      <c r="A131" s="5"/>
      <c r="AO131" s="17"/>
      <c r="AP131" s="17"/>
      <c r="AT131" s="48"/>
      <c r="AV131" s="48"/>
    </row>
    <row r="132" spans="1:48" s="3" customFormat="1" ht="12.95">
      <c r="A132" s="5"/>
      <c r="AO132" s="17"/>
      <c r="AP132" s="17"/>
      <c r="AT132" s="48"/>
      <c r="AV132" s="48"/>
    </row>
    <row r="133" spans="1:48" s="3" customFormat="1" ht="12.95">
      <c r="A133" s="5"/>
      <c r="AO133" s="17"/>
      <c r="AP133" s="17"/>
      <c r="AT133" s="48"/>
      <c r="AV133" s="48"/>
    </row>
    <row r="134" spans="1:48" s="3" customFormat="1" ht="12.95">
      <c r="A134" s="5"/>
      <c r="AO134" s="17"/>
      <c r="AP134" s="17"/>
      <c r="AT134" s="48"/>
      <c r="AV134" s="48"/>
    </row>
    <row r="135" spans="1:48" s="3" customFormat="1" ht="12.95">
      <c r="A135" s="5"/>
      <c r="AO135" s="17"/>
      <c r="AP135" s="17"/>
      <c r="AT135" s="48"/>
      <c r="AV135" s="48"/>
    </row>
    <row r="136" spans="1:48" s="3" customFormat="1" ht="12.95">
      <c r="A136" s="5"/>
      <c r="AO136" s="17"/>
      <c r="AP136" s="17"/>
      <c r="AT136" s="48"/>
      <c r="AV136" s="48"/>
    </row>
    <row r="137" spans="1:48" s="3" customFormat="1" ht="12.95">
      <c r="A137" s="5"/>
      <c r="AO137" s="17"/>
      <c r="AP137" s="17"/>
      <c r="AT137" s="48"/>
      <c r="AV137" s="48"/>
    </row>
    <row r="138" spans="1:48" s="3" customFormat="1" ht="12.95">
      <c r="A138" s="5"/>
      <c r="AO138" s="17"/>
      <c r="AP138" s="17"/>
      <c r="AT138" s="48"/>
      <c r="AV138" s="48"/>
    </row>
    <row r="139" spans="1:48" s="3" customFormat="1" ht="12.95">
      <c r="A139" s="5"/>
      <c r="AO139" s="17"/>
      <c r="AP139" s="17"/>
      <c r="AT139" s="48"/>
      <c r="AV139" s="48"/>
    </row>
    <row r="140" spans="1:48" s="3" customFormat="1" ht="12.95">
      <c r="A140" s="5"/>
      <c r="AO140" s="17"/>
      <c r="AP140" s="17"/>
      <c r="AT140" s="48"/>
      <c r="AV140" s="48"/>
    </row>
    <row r="141" spans="1:48" s="3" customFormat="1" ht="12.95">
      <c r="A141" s="5"/>
      <c r="AO141" s="17"/>
      <c r="AP141" s="17"/>
      <c r="AT141" s="48"/>
      <c r="AV141" s="48"/>
    </row>
    <row r="142" spans="1:48" s="3" customFormat="1" ht="12.95">
      <c r="A142" s="5"/>
      <c r="AO142" s="17"/>
      <c r="AP142" s="17"/>
      <c r="AT142" s="48"/>
      <c r="AV142" s="48"/>
    </row>
    <row r="143" spans="1:48" s="3" customFormat="1" ht="12.95">
      <c r="A143" s="5"/>
      <c r="AO143" s="17"/>
      <c r="AP143" s="17"/>
      <c r="AT143" s="48"/>
      <c r="AV143" s="48"/>
    </row>
    <row r="144" spans="1:48" s="3" customFormat="1" ht="12.95">
      <c r="A144" s="5"/>
      <c r="AO144" s="17"/>
      <c r="AP144" s="17"/>
      <c r="AT144" s="48"/>
      <c r="AV144" s="48"/>
    </row>
    <row r="145" spans="1:48" s="3" customFormat="1" ht="12.95">
      <c r="A145" s="5"/>
      <c r="AO145" s="17"/>
      <c r="AP145" s="17"/>
      <c r="AT145" s="48"/>
      <c r="AV145" s="48"/>
    </row>
    <row r="146" spans="1:48" s="3" customFormat="1" ht="12.95">
      <c r="A146" s="5"/>
      <c r="AO146" s="17"/>
      <c r="AP146" s="17"/>
      <c r="AT146" s="48"/>
      <c r="AV146" s="48"/>
    </row>
    <row r="147" spans="1:48" s="3" customFormat="1" ht="12.95">
      <c r="A147" s="5"/>
      <c r="AO147" s="17"/>
      <c r="AP147" s="17"/>
      <c r="AT147" s="48"/>
      <c r="AV147" s="48"/>
    </row>
    <row r="148" spans="1:48" s="3" customFormat="1" ht="12.95">
      <c r="A148" s="5"/>
      <c r="AO148" s="17"/>
      <c r="AP148" s="17"/>
      <c r="AT148" s="48"/>
      <c r="AV148" s="48"/>
    </row>
    <row r="149" spans="1:48" s="3" customFormat="1" ht="12.95">
      <c r="A149" s="5"/>
      <c r="AO149" s="17"/>
      <c r="AP149" s="17"/>
      <c r="AT149" s="48"/>
      <c r="AV149" s="48"/>
    </row>
    <row r="150" spans="1:48" s="3" customFormat="1" ht="12.95">
      <c r="A150" s="5"/>
      <c r="AO150" s="17"/>
      <c r="AP150" s="17"/>
      <c r="AT150" s="48"/>
      <c r="AV150" s="48"/>
    </row>
    <row r="151" spans="1:48" s="3" customFormat="1" ht="12.95">
      <c r="A151" s="5"/>
      <c r="AO151" s="17"/>
      <c r="AP151" s="17"/>
      <c r="AT151" s="48"/>
      <c r="AV151" s="48"/>
    </row>
    <row r="152" spans="1:48" s="3" customFormat="1" ht="12.95">
      <c r="A152" s="5"/>
      <c r="AO152" s="17"/>
      <c r="AP152" s="17"/>
      <c r="AT152" s="48"/>
      <c r="AV152" s="48"/>
    </row>
    <row r="153" spans="1:48" s="3" customFormat="1" ht="12.95">
      <c r="A153" s="5"/>
      <c r="AO153" s="17"/>
      <c r="AP153" s="17"/>
      <c r="AT153" s="48"/>
      <c r="AV153" s="48"/>
    </row>
    <row r="154" spans="1:48" s="3" customFormat="1" ht="12.95">
      <c r="A154" s="5"/>
      <c r="AO154" s="17"/>
      <c r="AP154" s="17"/>
      <c r="AT154" s="48"/>
      <c r="AV154" s="48"/>
    </row>
    <row r="155" spans="1:48" s="3" customFormat="1" ht="12.95">
      <c r="A155" s="5"/>
      <c r="AO155" s="17"/>
      <c r="AP155" s="17"/>
      <c r="AT155" s="48"/>
      <c r="AV155" s="48"/>
    </row>
    <row r="156" spans="1:48" s="3" customFormat="1" ht="12.95">
      <c r="A156" s="5"/>
      <c r="AO156" s="17"/>
      <c r="AP156" s="17"/>
      <c r="AT156" s="48"/>
      <c r="AV156" s="48"/>
    </row>
    <row r="157" spans="1:48" s="3" customFormat="1" ht="12.95">
      <c r="A157" s="5"/>
      <c r="AO157" s="17"/>
      <c r="AP157" s="17"/>
      <c r="AT157" s="48"/>
      <c r="AV157" s="48"/>
    </row>
    <row r="158" spans="1:48" s="3" customFormat="1" ht="12.95">
      <c r="A158" s="5"/>
      <c r="AO158" s="17"/>
      <c r="AP158" s="17"/>
      <c r="AT158" s="48"/>
      <c r="AV158" s="48"/>
    </row>
    <row r="159" spans="1:48" s="3" customFormat="1" ht="12.95">
      <c r="A159" s="5"/>
      <c r="AO159" s="17"/>
      <c r="AP159" s="17"/>
      <c r="AT159" s="48"/>
      <c r="AV159" s="48"/>
    </row>
    <row r="160" spans="1:48" s="3" customFormat="1" ht="12.95">
      <c r="A160" s="5"/>
      <c r="AO160" s="17"/>
      <c r="AP160" s="17"/>
      <c r="AT160" s="48"/>
      <c r="AV160" s="48"/>
    </row>
    <row r="161" spans="1:48" s="3" customFormat="1" ht="12.95">
      <c r="A161" s="5"/>
      <c r="AO161" s="17"/>
      <c r="AP161" s="17"/>
      <c r="AT161" s="48"/>
      <c r="AV161" s="48"/>
    </row>
    <row r="162" spans="1:48" s="3" customFormat="1" ht="12.95">
      <c r="A162" s="5"/>
      <c r="AO162" s="17"/>
      <c r="AP162" s="17"/>
      <c r="AT162" s="48"/>
      <c r="AV162" s="48"/>
    </row>
    <row r="163" spans="1:48" s="3" customFormat="1" ht="12.95">
      <c r="A163" s="5"/>
      <c r="AO163" s="17"/>
      <c r="AP163" s="17"/>
      <c r="AT163" s="48"/>
      <c r="AV163" s="48"/>
    </row>
    <row r="164" spans="1:48" ht="12.95">
      <c r="A164" s="5"/>
    </row>
    <row r="165" spans="1:48" ht="12.95">
      <c r="A165" s="5"/>
    </row>
    <row r="166" spans="1:48" ht="12.95">
      <c r="A166" s="5"/>
    </row>
    <row r="167" spans="1:48" ht="12.95">
      <c r="A167" s="5"/>
    </row>
    <row r="168" spans="1:48" ht="12.95">
      <c r="A168" s="5"/>
    </row>
  </sheetData>
  <sheetProtection insertRows="0" insertHyperlinks="0" autoFilter="0"/>
  <protectedRanges>
    <protectedRange algorithmName="SHA-512" hashValue="7FJpRjMClRRlEDaRiv2I45XnJ5nVe6Y81mjOK27+pd76r1+ad5pIvVkVn8vpLooPef4Z+bpcH2bfqg0F/3hsww==" saltValue="Lq5joJryvX0cvidipyTKig==" spinCount="100000" sqref="AI15:AI16" name="Total ore_2_1_1"/>
  </protectedRanges>
  <mergeCells count="110">
    <mergeCell ref="AJ12:AJ14"/>
    <mergeCell ref="AK12:AK14"/>
    <mergeCell ref="AL12:AL14"/>
    <mergeCell ref="I19:O19"/>
    <mergeCell ref="P19:V19"/>
    <mergeCell ref="I21:O21"/>
    <mergeCell ref="P21:V21"/>
    <mergeCell ref="B8:AF10"/>
    <mergeCell ref="B11:AF11"/>
    <mergeCell ref="A12:AF12"/>
    <mergeCell ref="AG12:AG14"/>
    <mergeCell ref="AH12:AH14"/>
    <mergeCell ref="AI12:AI14"/>
    <mergeCell ref="I27:O27"/>
    <mergeCell ref="P27:V27"/>
    <mergeCell ref="A52:F52"/>
    <mergeCell ref="G52:AM52"/>
    <mergeCell ref="A53:F53"/>
    <mergeCell ref="G53:AM53"/>
    <mergeCell ref="I24:O24"/>
    <mergeCell ref="P24:V24"/>
    <mergeCell ref="I25:O25"/>
    <mergeCell ref="P25:V25"/>
    <mergeCell ref="I26:O26"/>
    <mergeCell ref="P26:V26"/>
    <mergeCell ref="B57:C57"/>
    <mergeCell ref="D57:AJ57"/>
    <mergeCell ref="B58:C58"/>
    <mergeCell ref="D58:AJ58"/>
    <mergeCell ref="B59:C59"/>
    <mergeCell ref="D59:AJ59"/>
    <mergeCell ref="A54:F54"/>
    <mergeCell ref="G54:AM54"/>
    <mergeCell ref="A55:F55"/>
    <mergeCell ref="G55:AM55"/>
    <mergeCell ref="A56:F56"/>
    <mergeCell ref="G56:AM56"/>
    <mergeCell ref="B63:C63"/>
    <mergeCell ref="D63:AJ63"/>
    <mergeCell ref="B64:C64"/>
    <mergeCell ref="D64:AJ64"/>
    <mergeCell ref="B65:C65"/>
    <mergeCell ref="D65:AJ65"/>
    <mergeCell ref="B60:C60"/>
    <mergeCell ref="D60:AJ60"/>
    <mergeCell ref="B61:C61"/>
    <mergeCell ref="D61:AJ61"/>
    <mergeCell ref="B62:C62"/>
    <mergeCell ref="D62:AJ62"/>
    <mergeCell ref="B69:C69"/>
    <mergeCell ref="D69:AJ69"/>
    <mergeCell ref="B70:C70"/>
    <mergeCell ref="D70:AJ70"/>
    <mergeCell ref="B71:C71"/>
    <mergeCell ref="D71:AJ71"/>
    <mergeCell ref="B66:C66"/>
    <mergeCell ref="D66:AJ66"/>
    <mergeCell ref="B67:C67"/>
    <mergeCell ref="D67:AJ67"/>
    <mergeCell ref="B68:C68"/>
    <mergeCell ref="D68:AJ68"/>
    <mergeCell ref="B75:C75"/>
    <mergeCell ref="D75:AJ75"/>
    <mergeCell ref="B76:C76"/>
    <mergeCell ref="D76:AJ76"/>
    <mergeCell ref="B77:C77"/>
    <mergeCell ref="D77:AJ77"/>
    <mergeCell ref="B72:C72"/>
    <mergeCell ref="D72:AJ72"/>
    <mergeCell ref="B73:C73"/>
    <mergeCell ref="D73:AJ73"/>
    <mergeCell ref="B74:C74"/>
    <mergeCell ref="D74:AJ74"/>
    <mergeCell ref="B81:C81"/>
    <mergeCell ref="D81:AJ81"/>
    <mergeCell ref="B82:C82"/>
    <mergeCell ref="D82:AJ82"/>
    <mergeCell ref="B83:C83"/>
    <mergeCell ref="D83:AJ83"/>
    <mergeCell ref="B78:C78"/>
    <mergeCell ref="D78:AJ78"/>
    <mergeCell ref="B79:C79"/>
    <mergeCell ref="D79:AJ79"/>
    <mergeCell ref="B80:C80"/>
    <mergeCell ref="D80:AJ80"/>
    <mergeCell ref="B87:C87"/>
    <mergeCell ref="D87:AJ87"/>
    <mergeCell ref="A88:AK88"/>
    <mergeCell ref="A89:AM90"/>
    <mergeCell ref="A91:C91"/>
    <mergeCell ref="D91:AM91"/>
    <mergeCell ref="B84:C84"/>
    <mergeCell ref="D84:AJ84"/>
    <mergeCell ref="B85:C85"/>
    <mergeCell ref="D85:AJ85"/>
    <mergeCell ref="B86:C86"/>
    <mergeCell ref="D86:AJ86"/>
    <mergeCell ref="A98:C98"/>
    <mergeCell ref="A95:C95"/>
    <mergeCell ref="D95:AM95"/>
    <mergeCell ref="A96:C96"/>
    <mergeCell ref="D96:AM96"/>
    <mergeCell ref="A97:C97"/>
    <mergeCell ref="D97:AM97"/>
    <mergeCell ref="A92:C92"/>
    <mergeCell ref="D92:AM92"/>
    <mergeCell ref="A93:C93"/>
    <mergeCell ref="D93:AM93"/>
    <mergeCell ref="A94:C94"/>
    <mergeCell ref="D94:AM94"/>
  </mergeCells>
  <dataValidations count="5">
    <dataValidation type="custom" allowBlank="1" showInputMessage="1" showErrorMessage="1" errorTitle="Eroare Validare Livrabil" promptTitle="Validare livrabil" prompt="Asigură-te că celula ”Categorie livrabil 2” este completată înainte de a introduce date în Livrabil 2" sqref="AX58:AX87" xr:uid="{FC626E7D-E786-4EF0-98D0-A029B271E408}">
      <formula1>AW60&lt;&gt;""</formula1>
    </dataValidation>
    <dataValidation type="custom" errorStyle="warning" showInputMessage="1" showErrorMessage="1" errorTitle="Eroare Validare RP" error="- Dacă AQ este „Da”, trebuie să completezi AR cu experții._x000a_- Stadiul livrabilului (AS) este obligatoriu._x000a_" promptTitle="Validare RP" prompt="Selectează „Da” sau „Nu” pentru Livrabil Comun._x000a_- AR: Completează experții dacă AQ este „Da”._x000a_- AS: Completează stadiul livrabilului (obligatoriu)." sqref="AT87" xr:uid="{598B2B00-EE07-4875-BF73-85E2C10AC773}">
      <formula1>AND(#REF!="Nu", OR(#REF!="Da", AND(#REF!="Da", #REF!&lt;&gt;"")), #REF!&lt;&gt;"")</formula1>
    </dataValidation>
    <dataValidation type="custom" allowBlank="1" showInputMessage="1" showErrorMessage="1" errorTitle="Eroare Validare Livrabil" error="Categoria livrabilului (AU) este obligatoriu." sqref="AV72 AV68:AV70" xr:uid="{321C69C8-42D5-4330-82E4-5014E7199915}">
      <formula1>AU71&lt;&gt;""</formula1>
    </dataValidation>
    <dataValidation type="custom" allowBlank="1" showInputMessage="1" showErrorMessage="1" errorTitle="Eroare Validare Livrabil" error="Categoria livrabilului (AU) este obligatoriu." sqref="AV58:AV59 AV61 AV74 AV64 AV76:AV78 AV80:AV87" xr:uid="{E58308AF-1DA5-4307-824A-1C21162B49AA}">
      <formula1>AU60&lt;&gt;""</formula1>
    </dataValidation>
    <dataValidation type="custom" errorStyle="warning" showInputMessage="1" showErrorMessage="1" errorTitle="Eroare Validare RP" error="- Dacă AQ este „Da”, trebuie să completezi AR cu experții._x000a_- Stadiul livrabilului (AS) este obligatoriu._x000a_" promptTitle="Validare RP" prompt="Selectează „Da” sau „Nu” pentru Livrabil Comun._x000a_- AR: Completează experții dacă AQ este „Da”._x000a_- AS: Completează stadiul livrabilului (obligatoriu)." sqref="AT75" xr:uid="{70FB7165-809A-43B5-86D6-329507199F41}">
      <formula1>AND(AQ77="Nu", OR(AQ77="Da", AND(AQ77="Da", AR77&lt;&gt;"")), AS77&lt;&gt;"")</formula1>
    </dataValidation>
  </dataValidations>
  <hyperlinks>
    <hyperlink ref="AT58" r:id="rId1" display="20260401_RP_ Intalniri online-mar 2026.docx" xr:uid="{3608A42F-66D1-4583-84D7-52A1003F1335}"/>
    <hyperlink ref="AT60" r:id="rId2" display="20260403_RP EVENIMENTE BH_GDPR_mar 2026.docx" xr:uid="{C3B143B1-E7BA-4D04-8143-8CF8158E5317}"/>
    <hyperlink ref="AV79" r:id="rId3" display="Draft_Formular_GDPR _ licitatii.docx" xr:uid="{15E93BEB-FB53-48CD-B524-48897A1F6777}"/>
    <hyperlink ref="AT64" r:id="rId4" display="20260417_GT-Monitorizare GDPR pe perioada 01.03.2026-31.03.2026.docx" xr:uid="{5FEAADA0-83B0-4AFD-A840-023CFD6AEBB4}"/>
    <hyperlink ref="AT79" r:id="rId5" display="20260422_RP_elaborare formular GDPR_licitatii.docx" xr:uid="{613DC9A8-4F68-404A-8EAA-0DEC89EF0BDF}"/>
    <hyperlink ref="AT81" r:id="rId6" display="20260424_RP_GDPR_Rezultat licitatie_Analiza pietei muncii din Romania.docx" xr:uid="{83AE67E5-AC08-41E5-BC10-DF8FBD1B472D}"/>
    <hyperlink ref="AT78" r:id="rId7" display="20260421_RP_ GDPR_Comunicate_Mar 2026.docx" xr:uid="{BDBDD205-310A-4EE4-B464-C195EDD6B919}"/>
    <hyperlink ref="AT80" r:id="rId8" display="20260423_RP_GDPR_lansare licitatie.docx" xr:uid="{5C0F85CA-DA56-46C5-BF97-3EE6723675F8}"/>
    <hyperlink ref="AT72" r:id="rId9" display="https://confederatiaconcordia.sharepoint.com/:w:/s/PEO2024-2028/IQA0MitDOE9iT6G7kLsdRVV5AT1SMDYY_aevjSt671Jm8oM?e=emeIgI" xr:uid="{573EDBC7-2932-4D00-BA51-650BDCBBF0C3}"/>
    <hyperlink ref="AT84" r:id="rId10" display="https://confederatiaconcordia.sharepoint.com/:w:/s/PEO2024-2028/IQCDi9QGISTMSaD_owduhWW8AU-HsRX0AsF8tkniVFV5krM?e=2a7oKM" xr:uid="{E85429F2-C681-4F5F-8B08-9B7C73CB7A33}"/>
    <hyperlink ref="AT63" r:id="rId11" display="RP la Bianca" xr:uid="{D5A79D8A-E301-456F-AC27-3EB9427CC0C6}"/>
    <hyperlink ref="AT77" r:id="rId12" display="20260420_Minuta_Masa Rotunda Federatii CPC_aprilie.docx" xr:uid="{015B3FB9-064B-447D-AECC-163B91F156B0}"/>
  </hyperlinks>
  <pageMargins left="0.25" right="0.25" top="0.75" bottom="0.75" header="0.3" footer="0.3"/>
  <pageSetup paperSize="9" scale="33" orientation="portrait" r:id="rId13"/>
  <drawing r:id="rId14"/>
  <tableParts count="1">
    <tablePart r:id="rId1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F6EF6-C41E-496B-A6FE-23C76DCA2B6C}">
  <sheetPr>
    <pageSetUpPr fitToPage="1"/>
  </sheetPr>
  <dimension ref="A1:BB169"/>
  <sheetViews>
    <sheetView showGridLines="0" tabSelected="1" topLeftCell="AJ76" zoomScale="42" zoomScaleNormal="70" workbookViewId="0">
      <selection activeCell="AO92" sqref="AO92"/>
    </sheetView>
  </sheetViews>
  <sheetFormatPr defaultColWidth="8.5703125" defaultRowHeight="12.75" customHeight="1"/>
  <cols>
    <col min="1" max="1" width="30.42578125" style="1" customWidth="1"/>
    <col min="2" max="32" width="3.5703125" style="1" customWidth="1"/>
    <col min="33" max="34" width="7.42578125" style="1" customWidth="1"/>
    <col min="35" max="35" width="6.5703125" style="1" customWidth="1"/>
    <col min="36" max="36" width="6.42578125" style="1" customWidth="1"/>
    <col min="37" max="37" width="7.5703125" style="1" customWidth="1"/>
    <col min="38" max="38" width="8.42578125" style="1" customWidth="1"/>
    <col min="39" max="39" width="9.5703125" style="1" customWidth="1"/>
    <col min="40" max="40" width="77.42578125" style="1" customWidth="1"/>
    <col min="41" max="41" width="17.5703125" style="2" customWidth="1"/>
    <col min="42" max="42" width="14.5703125" style="2" customWidth="1"/>
    <col min="43" max="43" width="22.7109375" style="1" customWidth="1"/>
    <col min="44" max="44" width="28.42578125" style="1" customWidth="1"/>
    <col min="45" max="45" width="32.28515625" style="1" customWidth="1"/>
    <col min="46" max="46" width="37.42578125" style="18" customWidth="1"/>
    <col min="47" max="47" width="32.5703125" style="1" customWidth="1"/>
    <col min="48" max="48" width="30.42578125" style="18" customWidth="1"/>
    <col min="49" max="52" width="30.42578125" style="1" customWidth="1"/>
    <col min="53" max="53" width="20.5703125" style="1" customWidth="1"/>
    <col min="54" max="54" width="31" style="1" customWidth="1"/>
    <col min="55" max="16384" width="8.5703125" style="1"/>
  </cols>
  <sheetData>
    <row r="1" spans="1:39" ht="13.5" thickBot="1">
      <c r="A1" s="19" t="s">
        <v>0</v>
      </c>
      <c r="B1" s="20"/>
    </row>
    <row r="2" spans="1:39" ht="13.5" thickBot="1">
      <c r="A2" s="21" t="s">
        <v>1</v>
      </c>
      <c r="B2" s="22"/>
    </row>
    <row r="3" spans="1:39" ht="13.5" thickBot="1">
      <c r="A3" s="21" t="s">
        <v>2</v>
      </c>
      <c r="B3" s="23" t="s">
        <v>3</v>
      </c>
    </row>
    <row r="4" spans="1:39" ht="13.5" thickBot="1">
      <c r="A4" s="21" t="s">
        <v>4</v>
      </c>
      <c r="B4" s="23" t="s">
        <v>5</v>
      </c>
    </row>
    <row r="5" spans="1:39" ht="13.5" thickBot="1">
      <c r="A5" s="24" t="s">
        <v>6</v>
      </c>
      <c r="B5" s="23" t="s">
        <v>7</v>
      </c>
    </row>
    <row r="6" spans="1:39" ht="13.5" thickBot="1">
      <c r="A6" s="24" t="s">
        <v>8</v>
      </c>
      <c r="B6" s="25">
        <v>8</v>
      </c>
    </row>
    <row r="7" spans="1:39" ht="13.5" thickBot="1">
      <c r="A7" s="26"/>
      <c r="B7" s="27"/>
    </row>
    <row r="8" spans="1:39" ht="14.85" customHeight="1">
      <c r="B8" s="493" t="s">
        <v>9</v>
      </c>
      <c r="C8" s="494"/>
      <c r="D8" s="494"/>
      <c r="E8" s="494"/>
      <c r="F8" s="494"/>
      <c r="G8" s="494"/>
      <c r="H8" s="494"/>
      <c r="I8" s="494"/>
      <c r="J8" s="494"/>
      <c r="K8" s="494"/>
      <c r="L8" s="494"/>
      <c r="M8" s="494"/>
      <c r="N8" s="494"/>
      <c r="O8" s="494"/>
      <c r="P8" s="494"/>
      <c r="Q8" s="494"/>
      <c r="R8" s="494"/>
      <c r="S8" s="494"/>
      <c r="T8" s="494"/>
      <c r="U8" s="494"/>
      <c r="V8" s="494"/>
      <c r="W8" s="494"/>
      <c r="X8" s="494"/>
      <c r="Y8" s="494"/>
      <c r="Z8" s="494"/>
      <c r="AA8" s="494"/>
      <c r="AB8" s="494"/>
      <c r="AC8" s="494"/>
      <c r="AD8" s="494"/>
      <c r="AE8" s="494"/>
      <c r="AF8" s="495"/>
    </row>
    <row r="9" spans="1:39" ht="14.85" customHeight="1">
      <c r="B9" s="496"/>
      <c r="C9" s="497"/>
      <c r="D9" s="497"/>
      <c r="E9" s="497"/>
      <c r="F9" s="497"/>
      <c r="G9" s="497"/>
      <c r="H9" s="497"/>
      <c r="I9" s="497"/>
      <c r="J9" s="497"/>
      <c r="K9" s="497"/>
      <c r="L9" s="497"/>
      <c r="M9" s="497"/>
      <c r="N9" s="497"/>
      <c r="O9" s="497"/>
      <c r="P9" s="497"/>
      <c r="Q9" s="497"/>
      <c r="R9" s="497"/>
      <c r="S9" s="497"/>
      <c r="T9" s="497"/>
      <c r="U9" s="497"/>
      <c r="V9" s="497"/>
      <c r="W9" s="497"/>
      <c r="X9" s="497"/>
      <c r="Y9" s="497"/>
      <c r="Z9" s="497"/>
      <c r="AA9" s="497"/>
      <c r="AB9" s="497"/>
      <c r="AC9" s="497"/>
      <c r="AD9" s="497"/>
      <c r="AE9" s="497"/>
      <c r="AF9" s="498"/>
    </row>
    <row r="10" spans="1:39" ht="15" customHeight="1" thickBot="1">
      <c r="B10" s="499"/>
      <c r="C10" s="500"/>
      <c r="D10" s="500"/>
      <c r="E10" s="500"/>
      <c r="F10" s="500"/>
      <c r="G10" s="500"/>
      <c r="H10" s="500"/>
      <c r="I10" s="500"/>
      <c r="J10" s="500"/>
      <c r="K10" s="500"/>
      <c r="L10" s="500"/>
      <c r="M10" s="500"/>
      <c r="N10" s="500"/>
      <c r="O10" s="500"/>
      <c r="P10" s="500"/>
      <c r="Q10" s="500"/>
      <c r="R10" s="500"/>
      <c r="S10" s="500"/>
      <c r="T10" s="500"/>
      <c r="U10" s="500"/>
      <c r="V10" s="500"/>
      <c r="W10" s="500"/>
      <c r="X10" s="500"/>
      <c r="Y10" s="500"/>
      <c r="Z10" s="500"/>
      <c r="AA10" s="500"/>
      <c r="AB10" s="500"/>
      <c r="AC10" s="500"/>
      <c r="AD10" s="500"/>
      <c r="AE10" s="500"/>
      <c r="AF10" s="501"/>
    </row>
    <row r="11" spans="1:39" ht="15" thickBot="1">
      <c r="B11" s="502" t="s">
        <v>10</v>
      </c>
      <c r="C11" s="502"/>
      <c r="D11" s="502"/>
      <c r="E11" s="502"/>
      <c r="F11" s="502"/>
      <c r="G11" s="502"/>
      <c r="H11" s="502"/>
      <c r="I11" s="502"/>
      <c r="J11" s="502"/>
      <c r="K11" s="502"/>
      <c r="L11" s="502"/>
      <c r="M11" s="502"/>
      <c r="N11" s="502"/>
      <c r="O11" s="502"/>
      <c r="P11" s="502"/>
      <c r="Q11" s="502"/>
      <c r="R11" s="502"/>
      <c r="S11" s="502"/>
      <c r="T11" s="502"/>
      <c r="U11" s="502"/>
      <c r="V11" s="502"/>
      <c r="W11" s="502"/>
      <c r="X11" s="502"/>
      <c r="Y11" s="502"/>
      <c r="Z11" s="502"/>
      <c r="AA11" s="502"/>
      <c r="AB11" s="502"/>
      <c r="AC11" s="502"/>
      <c r="AD11" s="502"/>
      <c r="AE11" s="502"/>
      <c r="AF11" s="502"/>
      <c r="AG11" s="28"/>
      <c r="AH11" s="29"/>
      <c r="AI11" s="28"/>
      <c r="AJ11" s="29"/>
      <c r="AK11" s="28"/>
      <c r="AL11" s="29"/>
      <c r="AM11" s="28"/>
    </row>
    <row r="12" spans="1:39" ht="17.25" customHeight="1" thickBot="1">
      <c r="A12" s="503" t="s">
        <v>219</v>
      </c>
      <c r="B12" s="504"/>
      <c r="C12" s="504"/>
      <c r="D12" s="504"/>
      <c r="E12" s="504"/>
      <c r="F12" s="504"/>
      <c r="G12" s="504"/>
      <c r="H12" s="504"/>
      <c r="I12" s="504"/>
      <c r="J12" s="504"/>
      <c r="K12" s="504"/>
      <c r="L12" s="504"/>
      <c r="M12" s="504"/>
      <c r="N12" s="504"/>
      <c r="O12" s="504"/>
      <c r="P12" s="504"/>
      <c r="Q12" s="504"/>
      <c r="R12" s="504"/>
      <c r="S12" s="504"/>
      <c r="T12" s="504"/>
      <c r="U12" s="504"/>
      <c r="V12" s="504"/>
      <c r="W12" s="504"/>
      <c r="X12" s="504"/>
      <c r="Y12" s="504"/>
      <c r="Z12" s="504"/>
      <c r="AA12" s="504"/>
      <c r="AB12" s="504"/>
      <c r="AC12" s="504"/>
      <c r="AD12" s="504"/>
      <c r="AE12" s="504"/>
      <c r="AF12" s="504"/>
      <c r="AG12" s="490" t="s">
        <v>12</v>
      </c>
      <c r="AH12" s="490" t="s">
        <v>13</v>
      </c>
      <c r="AI12" s="490" t="s">
        <v>14</v>
      </c>
      <c r="AJ12" s="490" t="s">
        <v>15</v>
      </c>
      <c r="AK12" s="490" t="s">
        <v>16</v>
      </c>
      <c r="AL12" s="490" t="s">
        <v>17</v>
      </c>
      <c r="AM12" s="37"/>
    </row>
    <row r="13" spans="1:39" ht="17.25" customHeight="1" thickBot="1">
      <c r="A13" s="30" t="s">
        <v>18</v>
      </c>
      <c r="B13" s="64">
        <v>1</v>
      </c>
      <c r="C13" s="31">
        <v>2</v>
      </c>
      <c r="D13" s="31">
        <v>3</v>
      </c>
      <c r="E13" s="108">
        <v>4</v>
      </c>
      <c r="F13" s="108">
        <v>5</v>
      </c>
      <c r="G13" s="108">
        <v>6</v>
      </c>
      <c r="H13" s="108">
        <v>7</v>
      </c>
      <c r="I13" s="108">
        <v>8</v>
      </c>
      <c r="J13" s="31">
        <v>9</v>
      </c>
      <c r="K13" s="31">
        <v>10</v>
      </c>
      <c r="L13" s="108">
        <v>11</v>
      </c>
      <c r="M13" s="108">
        <v>12</v>
      </c>
      <c r="N13" s="108">
        <v>13</v>
      </c>
      <c r="O13" s="108">
        <v>14</v>
      </c>
      <c r="P13" s="108">
        <v>15</v>
      </c>
      <c r="Q13" s="31">
        <v>16</v>
      </c>
      <c r="R13" s="31">
        <v>17</v>
      </c>
      <c r="S13" s="108">
        <v>18</v>
      </c>
      <c r="T13" s="108">
        <v>19</v>
      </c>
      <c r="U13" s="108">
        <v>20</v>
      </c>
      <c r="V13" s="108">
        <v>21</v>
      </c>
      <c r="W13" s="108">
        <v>22</v>
      </c>
      <c r="X13" s="31">
        <v>23</v>
      </c>
      <c r="Y13" s="31">
        <v>24</v>
      </c>
      <c r="Z13" s="108">
        <v>25</v>
      </c>
      <c r="AA13" s="108">
        <v>26</v>
      </c>
      <c r="AB13" s="108">
        <v>27</v>
      </c>
      <c r="AC13" s="108">
        <v>28</v>
      </c>
      <c r="AD13" s="108">
        <v>29</v>
      </c>
      <c r="AE13" s="31">
        <v>30</v>
      </c>
      <c r="AF13" s="31">
        <v>31</v>
      </c>
      <c r="AG13" s="491"/>
      <c r="AH13" s="505"/>
      <c r="AI13" s="491"/>
      <c r="AJ13" s="491"/>
      <c r="AK13" s="491"/>
      <c r="AL13" s="491"/>
      <c r="AM13" s="38"/>
    </row>
    <row r="14" spans="1:39" ht="17.25" customHeight="1" thickBot="1">
      <c r="A14" s="32" t="s">
        <v>19</v>
      </c>
      <c r="B14" s="50" t="s">
        <v>21</v>
      </c>
      <c r="C14" s="33" t="s">
        <v>22</v>
      </c>
      <c r="D14" s="33" t="s">
        <v>23</v>
      </c>
      <c r="E14" s="34" t="s">
        <v>24</v>
      </c>
      <c r="F14" s="34" t="s">
        <v>25</v>
      </c>
      <c r="G14" s="34" t="s">
        <v>26</v>
      </c>
      <c r="H14" s="34" t="s">
        <v>20</v>
      </c>
      <c r="I14" s="34" t="s">
        <v>21</v>
      </c>
      <c r="J14" s="33" t="s">
        <v>22</v>
      </c>
      <c r="K14" s="33" t="s">
        <v>23</v>
      </c>
      <c r="L14" s="34" t="s">
        <v>24</v>
      </c>
      <c r="M14" s="34" t="s">
        <v>25</v>
      </c>
      <c r="N14" s="34" t="s">
        <v>26</v>
      </c>
      <c r="O14" s="34" t="s">
        <v>20</v>
      </c>
      <c r="P14" s="34" t="s">
        <v>21</v>
      </c>
      <c r="Q14" s="33" t="s">
        <v>22</v>
      </c>
      <c r="R14" s="33" t="s">
        <v>23</v>
      </c>
      <c r="S14" s="34" t="s">
        <v>24</v>
      </c>
      <c r="T14" s="34" t="s">
        <v>25</v>
      </c>
      <c r="U14" s="34" t="s">
        <v>26</v>
      </c>
      <c r="V14" s="34" t="s">
        <v>20</v>
      </c>
      <c r="W14" s="34" t="s">
        <v>21</v>
      </c>
      <c r="X14" s="33" t="s">
        <v>22</v>
      </c>
      <c r="Y14" s="33" t="s">
        <v>23</v>
      </c>
      <c r="Z14" s="34" t="s">
        <v>24</v>
      </c>
      <c r="AA14" s="34" t="s">
        <v>25</v>
      </c>
      <c r="AB14" s="34" t="s">
        <v>26</v>
      </c>
      <c r="AC14" s="34" t="s">
        <v>20</v>
      </c>
      <c r="AD14" s="34" t="s">
        <v>21</v>
      </c>
      <c r="AE14" s="33" t="s">
        <v>22</v>
      </c>
      <c r="AF14" s="33" t="s">
        <v>23</v>
      </c>
      <c r="AG14" s="491"/>
      <c r="AH14" s="506"/>
      <c r="AI14" s="491"/>
      <c r="AJ14" s="491"/>
      <c r="AK14" s="491"/>
      <c r="AL14" s="491"/>
      <c r="AM14" s="38"/>
    </row>
    <row r="15" spans="1:39" ht="17.25" customHeight="1">
      <c r="A15" s="35" t="s">
        <v>27</v>
      </c>
      <c r="B15" s="65"/>
      <c r="C15" s="51"/>
      <c r="D15" s="51"/>
      <c r="E15" s="109">
        <f t="shared" ref="E15:AD15" si="0">8-SUM(E16:E16)</f>
        <v>4</v>
      </c>
      <c r="F15" s="109">
        <f t="shared" si="0"/>
        <v>6</v>
      </c>
      <c r="G15" s="109">
        <f t="shared" si="0"/>
        <v>3</v>
      </c>
      <c r="H15" s="109">
        <f t="shared" si="0"/>
        <v>2</v>
      </c>
      <c r="I15" s="109">
        <f t="shared" si="0"/>
        <v>5</v>
      </c>
      <c r="J15" s="51"/>
      <c r="K15" s="51"/>
      <c r="L15" s="109">
        <f t="shared" si="0"/>
        <v>0</v>
      </c>
      <c r="M15" s="109">
        <f t="shared" si="0"/>
        <v>3</v>
      </c>
      <c r="N15" s="109">
        <f t="shared" si="0"/>
        <v>5</v>
      </c>
      <c r="O15" s="109">
        <f t="shared" si="0"/>
        <v>2</v>
      </c>
      <c r="P15" s="109">
        <f t="shared" si="0"/>
        <v>6</v>
      </c>
      <c r="Q15" s="51"/>
      <c r="R15" s="51"/>
      <c r="S15" s="109">
        <f t="shared" si="0"/>
        <v>4</v>
      </c>
      <c r="T15" s="109">
        <f t="shared" si="0"/>
        <v>8</v>
      </c>
      <c r="U15" s="109">
        <f t="shared" si="0"/>
        <v>6</v>
      </c>
      <c r="V15" s="109">
        <f t="shared" si="0"/>
        <v>3</v>
      </c>
      <c r="W15" s="109">
        <f t="shared" si="0"/>
        <v>8</v>
      </c>
      <c r="X15" s="51"/>
      <c r="Y15" s="51"/>
      <c r="Z15" s="109">
        <f t="shared" si="0"/>
        <v>2</v>
      </c>
      <c r="AA15" s="109">
        <f t="shared" si="0"/>
        <v>2</v>
      </c>
      <c r="AB15" s="109">
        <f t="shared" si="0"/>
        <v>6</v>
      </c>
      <c r="AC15" s="109">
        <f t="shared" si="0"/>
        <v>8</v>
      </c>
      <c r="AD15" s="109">
        <f t="shared" si="0"/>
        <v>6</v>
      </c>
      <c r="AE15" s="51"/>
      <c r="AF15" s="51"/>
      <c r="AG15" s="52">
        <f>SUM(B15:AF15)+COUNTIF(B15:AF15, "DE")*4</f>
        <v>89</v>
      </c>
      <c r="AH15" s="53">
        <f>AG15/8</f>
        <v>11.125</v>
      </c>
      <c r="AI15" s="53">
        <f>COUNTIF(B15:AF15, "CO")*4</f>
        <v>0</v>
      </c>
      <c r="AJ15" s="53">
        <f>AI15/8</f>
        <v>0</v>
      </c>
      <c r="AK15" s="53">
        <f>COUNTIF(B15:AF15, "CM")*8</f>
        <v>0</v>
      </c>
      <c r="AL15" s="54">
        <f>AK15/8</f>
        <v>0</v>
      </c>
      <c r="AM15" s="39"/>
    </row>
    <row r="16" spans="1:39" ht="29.85" customHeight="1" thickBot="1">
      <c r="A16" s="35" t="s">
        <v>28</v>
      </c>
      <c r="B16" s="66"/>
      <c r="C16" s="55"/>
      <c r="D16" s="55"/>
      <c r="E16" s="110">
        <f>SUMIFS($AL$58:$AL$88,$A$58:$A$88,"="&amp;DATE(2026,5,E13))</f>
        <v>4</v>
      </c>
      <c r="F16" s="110">
        <f>SUMIFS($AL$58:$AL$88,$A$58:$A$88,"="&amp;DATE(2026,5,F13))</f>
        <v>2</v>
      </c>
      <c r="G16" s="110">
        <f>SUMIFS($AL$58:$AL$88,$A$58:$A$88,"="&amp;DATE(2026,5,G13))</f>
        <v>5</v>
      </c>
      <c r="H16" s="110">
        <f>SUMIFS($AL$58:$AL$88,$A$58:$A$88,"="&amp;DATE(2026,5,H13))</f>
        <v>6</v>
      </c>
      <c r="I16" s="110">
        <f>SUMIFS($AL$58:$AL$88,$A$58:$A$88,"="&amp;DATE(2026,5,I13))</f>
        <v>3</v>
      </c>
      <c r="J16" s="55"/>
      <c r="K16" s="55"/>
      <c r="L16" s="110">
        <f>SUMIFS($AL$58:$AL$88,$A$58:$A$88,"="&amp;DATE(2026,5,L13))</f>
        <v>8</v>
      </c>
      <c r="M16" s="110">
        <f>SUMIFS($AL$58:$AL$88,$A$58:$A$88,"="&amp;DATE(2026,5,M13))</f>
        <v>5</v>
      </c>
      <c r="N16" s="110">
        <f>SUMIFS($AL$58:$AL$88,$A$58:$A$88,"="&amp;DATE(2026,5,N13))</f>
        <v>3</v>
      </c>
      <c r="O16" s="110">
        <f>SUMIFS($AL$58:$AL$88,$A$58:$A$88,"="&amp;DATE(2026,5,O13))</f>
        <v>6</v>
      </c>
      <c r="P16" s="110">
        <f>SUMIFS($AL$58:$AL$88,$A$58:$A$88,"="&amp;DATE(2026,5,P13))</f>
        <v>2</v>
      </c>
      <c r="Q16" s="55"/>
      <c r="R16" s="55"/>
      <c r="S16" s="110">
        <f>SUMIFS($AL$58:$AL$88,$A$58:$A$88,"="&amp;DATE(2026,5,S13))</f>
        <v>4</v>
      </c>
      <c r="T16" s="110">
        <f>SUMIFS($AL$58:$AL$88,$A$58:$A$88,"="&amp;DATE(2026,5,T13))</f>
        <v>0</v>
      </c>
      <c r="U16" s="110">
        <f>SUMIFS($AL$58:$AL$88,$A$58:$A$88,"="&amp;DATE(2026,5,U13))</f>
        <v>2</v>
      </c>
      <c r="V16" s="110">
        <f>SUMIFS($AL$58:$AL$88,$A$58:$A$88,"="&amp;DATE(2026,5,V13))</f>
        <v>5</v>
      </c>
      <c r="W16" s="110">
        <f>SUMIFS($AL$58:$AL$88,$A$58:$A$88,"="&amp;DATE(2026,5,W13))</f>
        <v>0</v>
      </c>
      <c r="X16" s="55"/>
      <c r="Y16" s="55"/>
      <c r="Z16" s="110">
        <f>SUMIFS($AL$58:$AL$88,$A$58:$A$88,"="&amp;DATE(2026,5,Z13))</f>
        <v>6</v>
      </c>
      <c r="AA16" s="110">
        <f>SUMIFS($AL$58:$AL$88,$A$58:$A$88,"="&amp;DATE(2026,5,AA13))</f>
        <v>6</v>
      </c>
      <c r="AB16" s="110">
        <f>SUMIFS($AL$58:$AL$88,$A$58:$A$88,"="&amp;DATE(2026,5,AB13))</f>
        <v>2</v>
      </c>
      <c r="AC16" s="110">
        <f>SUMIFS($AL$58:$AL$88,$A$58:$A$88,"="&amp;DATE(2026,5,AC13))</f>
        <v>0</v>
      </c>
      <c r="AD16" s="110">
        <f>SUMIFS($AL$58:$AL$88,$A$58:$A$88,"="&amp;DATE(2026,5,AD13))</f>
        <v>2</v>
      </c>
      <c r="AE16" s="55"/>
      <c r="AF16" s="55"/>
      <c r="AG16" s="56">
        <f>SUM(B16:AF16)+COUNTIF(B16:AF16, "DE")*4</f>
        <v>71</v>
      </c>
      <c r="AH16" s="57">
        <f>AG16/8</f>
        <v>8.875</v>
      </c>
      <c r="AI16" s="57">
        <f>COUNTIF(B16:AF16, "CO")*4</f>
        <v>0</v>
      </c>
      <c r="AJ16" s="57">
        <f>AI16/8</f>
        <v>0</v>
      </c>
      <c r="AK16" s="57">
        <f>COUNTIF(B16:AF16, "CM")*8</f>
        <v>0</v>
      </c>
      <c r="AL16" s="58">
        <f>AK16/8</f>
        <v>0</v>
      </c>
      <c r="AM16" s="39"/>
    </row>
    <row r="17" spans="1:39" ht="17.25" customHeight="1" thickBot="1">
      <c r="A17" s="36" t="s">
        <v>29</v>
      </c>
      <c r="B17" s="67"/>
      <c r="C17" s="60"/>
      <c r="D17" s="60"/>
      <c r="E17" s="59">
        <f t="shared" ref="E17:AD17" si="1">SUM(E15:E16)</f>
        <v>8</v>
      </c>
      <c r="F17" s="59">
        <f t="shared" si="1"/>
        <v>8</v>
      </c>
      <c r="G17" s="59">
        <f t="shared" si="1"/>
        <v>8</v>
      </c>
      <c r="H17" s="59">
        <f t="shared" si="1"/>
        <v>8</v>
      </c>
      <c r="I17" s="59">
        <f t="shared" si="1"/>
        <v>8</v>
      </c>
      <c r="J17" s="60"/>
      <c r="K17" s="60"/>
      <c r="L17" s="59">
        <f t="shared" si="1"/>
        <v>8</v>
      </c>
      <c r="M17" s="59">
        <f t="shared" si="1"/>
        <v>8</v>
      </c>
      <c r="N17" s="59">
        <f t="shared" si="1"/>
        <v>8</v>
      </c>
      <c r="O17" s="59">
        <f t="shared" si="1"/>
        <v>8</v>
      </c>
      <c r="P17" s="59">
        <f t="shared" si="1"/>
        <v>8</v>
      </c>
      <c r="Q17" s="60"/>
      <c r="R17" s="60"/>
      <c r="S17" s="59">
        <f t="shared" si="1"/>
        <v>8</v>
      </c>
      <c r="T17" s="59">
        <f t="shared" si="1"/>
        <v>8</v>
      </c>
      <c r="U17" s="59">
        <f t="shared" si="1"/>
        <v>8</v>
      </c>
      <c r="V17" s="59">
        <f t="shared" si="1"/>
        <v>8</v>
      </c>
      <c r="W17" s="59">
        <f t="shared" si="1"/>
        <v>8</v>
      </c>
      <c r="X17" s="60"/>
      <c r="Y17" s="60"/>
      <c r="Z17" s="59">
        <f t="shared" si="1"/>
        <v>8</v>
      </c>
      <c r="AA17" s="59">
        <f t="shared" si="1"/>
        <v>8</v>
      </c>
      <c r="AB17" s="59">
        <f t="shared" si="1"/>
        <v>8</v>
      </c>
      <c r="AC17" s="59">
        <f t="shared" si="1"/>
        <v>8</v>
      </c>
      <c r="AD17" s="59">
        <f t="shared" si="1"/>
        <v>8</v>
      </c>
      <c r="AE17" s="60"/>
      <c r="AF17" s="60"/>
      <c r="AG17" s="61">
        <f t="shared" ref="AG17:AL17" si="2">SUM(AG15:AG16)</f>
        <v>160</v>
      </c>
      <c r="AH17" s="62">
        <f t="shared" si="2"/>
        <v>20</v>
      </c>
      <c r="AI17" s="62">
        <f t="shared" si="2"/>
        <v>0</v>
      </c>
      <c r="AJ17" s="62">
        <f t="shared" si="2"/>
        <v>0</v>
      </c>
      <c r="AK17" s="62">
        <f t="shared" si="2"/>
        <v>0</v>
      </c>
      <c r="AL17" s="63">
        <f t="shared" si="2"/>
        <v>0</v>
      </c>
      <c r="AM17" s="39"/>
    </row>
    <row r="18" spans="1:39" ht="12.95"/>
    <row r="19" spans="1:39" ht="12.95">
      <c r="A19" s="2"/>
      <c r="I19" s="492" t="s">
        <v>30</v>
      </c>
      <c r="J19" s="492"/>
      <c r="K19" s="492"/>
      <c r="L19" s="492"/>
      <c r="M19" s="492"/>
      <c r="N19" s="492"/>
      <c r="O19" s="492"/>
      <c r="P19" s="483" t="s">
        <v>31</v>
      </c>
      <c r="Q19" s="483"/>
      <c r="R19" s="483"/>
      <c r="S19" s="483"/>
      <c r="T19" s="483"/>
      <c r="U19" s="483"/>
      <c r="V19" s="483"/>
    </row>
    <row r="20" spans="1:39" ht="12.95"/>
    <row r="21" spans="1:39" ht="12.95">
      <c r="I21" s="482" t="s">
        <v>32</v>
      </c>
      <c r="J21" s="482"/>
      <c r="K21" s="482"/>
      <c r="L21" s="482"/>
      <c r="M21" s="482"/>
      <c r="N21" s="482"/>
      <c r="O21" s="482"/>
      <c r="P21" s="483"/>
      <c r="Q21" s="483"/>
      <c r="R21" s="483"/>
      <c r="S21" s="483"/>
      <c r="T21" s="483"/>
      <c r="U21" s="483"/>
      <c r="V21" s="483"/>
    </row>
    <row r="22" spans="1:39" ht="12.95">
      <c r="I22" s="2"/>
      <c r="J22" s="2"/>
      <c r="K22" s="2"/>
      <c r="L22" s="2"/>
      <c r="M22" s="2"/>
      <c r="N22" s="2"/>
      <c r="O22" s="2"/>
    </row>
    <row r="23" spans="1:39" ht="12.95">
      <c r="I23" s="2"/>
      <c r="J23" s="2"/>
      <c r="K23" s="2"/>
      <c r="L23" s="2"/>
      <c r="M23" s="2"/>
      <c r="N23" s="2"/>
      <c r="O23" s="2"/>
    </row>
    <row r="24" spans="1:39" ht="12.95">
      <c r="I24" s="492" t="s">
        <v>33</v>
      </c>
      <c r="J24" s="492"/>
      <c r="K24" s="492"/>
      <c r="L24" s="492"/>
      <c r="M24" s="492"/>
      <c r="N24" s="492"/>
      <c r="O24" s="492"/>
      <c r="P24" s="483" t="s">
        <v>31</v>
      </c>
      <c r="Q24" s="483"/>
      <c r="R24" s="483"/>
      <c r="S24" s="483"/>
      <c r="T24" s="483"/>
      <c r="U24" s="483"/>
      <c r="V24" s="483"/>
    </row>
    <row r="25" spans="1:39" ht="12.95">
      <c r="I25" s="482" t="s">
        <v>34</v>
      </c>
      <c r="J25" s="482"/>
      <c r="K25" s="482"/>
      <c r="L25" s="482"/>
      <c r="M25" s="482"/>
      <c r="N25" s="482"/>
      <c r="O25" s="482"/>
      <c r="P25" s="483"/>
      <c r="Q25" s="483"/>
      <c r="R25" s="483"/>
      <c r="S25" s="483"/>
      <c r="T25" s="483"/>
      <c r="U25" s="483"/>
      <c r="V25" s="483"/>
    </row>
    <row r="26" spans="1:39" ht="12.95">
      <c r="I26" s="482" t="s">
        <v>35</v>
      </c>
      <c r="J26" s="482"/>
      <c r="K26" s="482"/>
      <c r="L26" s="482"/>
      <c r="M26" s="482"/>
      <c r="N26" s="482"/>
      <c r="O26" s="482"/>
      <c r="P26" s="483"/>
      <c r="Q26" s="483"/>
      <c r="R26" s="483"/>
      <c r="S26" s="483"/>
      <c r="T26" s="483"/>
      <c r="U26" s="483"/>
      <c r="V26" s="483"/>
    </row>
    <row r="27" spans="1:39" ht="12.95">
      <c r="I27" s="482" t="s">
        <v>32</v>
      </c>
      <c r="J27" s="482"/>
      <c r="K27" s="482"/>
      <c r="L27" s="482"/>
      <c r="M27" s="482"/>
      <c r="N27" s="482"/>
      <c r="O27" s="482"/>
      <c r="P27" s="483"/>
      <c r="Q27" s="483"/>
      <c r="R27" s="483"/>
      <c r="S27" s="483"/>
      <c r="T27" s="483"/>
      <c r="U27" s="483"/>
      <c r="V27" s="483"/>
    </row>
    <row r="28" spans="1:39" ht="12.95">
      <c r="I28" s="4"/>
      <c r="J28" s="4"/>
      <c r="K28" s="4"/>
      <c r="L28" s="4"/>
      <c r="M28" s="4"/>
      <c r="N28" s="4"/>
      <c r="O28" s="4"/>
      <c r="P28" s="2"/>
      <c r="Q28" s="2"/>
      <c r="R28" s="2"/>
      <c r="S28" s="2"/>
      <c r="T28" s="2"/>
      <c r="U28" s="2"/>
      <c r="V28" s="2"/>
      <c r="AC28" s="1" t="s">
        <v>36</v>
      </c>
    </row>
    <row r="29" spans="1:39" ht="12.95">
      <c r="I29" s="4"/>
      <c r="J29" s="4"/>
      <c r="K29" s="4"/>
      <c r="L29" s="4"/>
      <c r="M29" s="4"/>
      <c r="N29" s="4"/>
      <c r="O29" s="4"/>
      <c r="P29" s="2"/>
      <c r="Q29" s="2"/>
      <c r="R29" s="2"/>
      <c r="S29" s="2"/>
      <c r="T29" s="2"/>
      <c r="U29" s="2"/>
      <c r="V29" s="2"/>
    </row>
    <row r="30" spans="1:39" ht="12.95">
      <c r="I30" s="4"/>
      <c r="J30" s="4"/>
      <c r="K30" s="4"/>
      <c r="L30" s="4"/>
      <c r="M30" s="4"/>
      <c r="N30" s="4"/>
      <c r="O30" s="4"/>
      <c r="P30" s="2"/>
      <c r="Q30" s="2"/>
      <c r="R30" s="2"/>
      <c r="S30" s="2"/>
      <c r="T30" s="2"/>
      <c r="U30" s="2"/>
      <c r="V30" s="2"/>
    </row>
    <row r="31" spans="1:39" ht="12.95">
      <c r="I31" s="4"/>
      <c r="J31" s="4"/>
      <c r="K31" s="4"/>
      <c r="L31" s="4"/>
      <c r="M31" s="4"/>
      <c r="N31" s="4"/>
      <c r="O31" s="4"/>
      <c r="P31" s="2"/>
      <c r="Q31" s="2"/>
      <c r="R31" s="2"/>
      <c r="S31" s="2"/>
      <c r="T31" s="2"/>
      <c r="U31" s="2"/>
      <c r="V31" s="2"/>
    </row>
    <row r="32" spans="1:39" ht="12.95">
      <c r="I32" s="4"/>
      <c r="J32" s="4"/>
      <c r="K32" s="4"/>
      <c r="L32" s="4"/>
      <c r="M32" s="4"/>
      <c r="N32" s="4"/>
      <c r="O32" s="4"/>
      <c r="P32" s="2"/>
      <c r="Q32" s="2"/>
      <c r="R32" s="2"/>
      <c r="S32" s="2"/>
      <c r="T32" s="2"/>
      <c r="U32" s="2"/>
      <c r="V32" s="2"/>
    </row>
    <row r="33" spans="1:39" ht="12.95">
      <c r="I33" s="4"/>
      <c r="J33" s="4"/>
      <c r="K33" s="4"/>
      <c r="L33" s="4"/>
      <c r="M33" s="4"/>
      <c r="N33" s="4"/>
      <c r="O33" s="4"/>
      <c r="P33" s="2"/>
      <c r="Q33" s="2"/>
      <c r="R33" s="2"/>
      <c r="S33" s="2"/>
      <c r="T33" s="2"/>
      <c r="U33" s="2"/>
      <c r="V33" s="2"/>
    </row>
    <row r="34" spans="1:39" ht="12.95">
      <c r="I34" s="4"/>
      <c r="J34" s="4"/>
      <c r="K34" s="4"/>
      <c r="L34" s="4"/>
      <c r="M34" s="4"/>
      <c r="N34" s="4"/>
      <c r="O34" s="4"/>
      <c r="P34" s="2"/>
      <c r="Q34" s="2"/>
      <c r="R34" s="2"/>
      <c r="S34" s="2"/>
      <c r="T34" s="2"/>
      <c r="U34" s="2"/>
      <c r="V34" s="2"/>
    </row>
    <row r="35" spans="1:39" ht="12.95">
      <c r="I35" s="4"/>
      <c r="J35" s="4"/>
      <c r="K35" s="4"/>
      <c r="L35" s="4"/>
      <c r="M35" s="4"/>
      <c r="N35" s="4"/>
      <c r="O35" s="4"/>
      <c r="P35" s="2"/>
      <c r="Q35" s="2"/>
      <c r="R35" s="2"/>
      <c r="S35" s="2"/>
      <c r="T35" s="2"/>
      <c r="U35" s="2"/>
      <c r="V35" s="2"/>
    </row>
    <row r="36" spans="1:39" ht="12.95">
      <c r="I36" s="4"/>
      <c r="J36" s="4"/>
      <c r="K36" s="4"/>
      <c r="L36" s="4"/>
      <c r="M36" s="4"/>
      <c r="N36" s="4"/>
      <c r="O36" s="4"/>
      <c r="P36" s="2"/>
      <c r="Q36" s="2"/>
      <c r="R36" s="2"/>
      <c r="S36" s="2"/>
      <c r="T36" s="2"/>
      <c r="U36" s="2"/>
      <c r="V36" s="2"/>
    </row>
    <row r="37" spans="1:39" ht="12.95">
      <c r="I37" s="4"/>
      <c r="J37" s="4"/>
      <c r="K37" s="4"/>
      <c r="L37" s="4"/>
      <c r="M37" s="4"/>
      <c r="N37" s="4"/>
      <c r="O37" s="4"/>
      <c r="P37" s="2"/>
      <c r="Q37" s="2"/>
      <c r="R37" s="2"/>
      <c r="S37" s="2"/>
      <c r="T37" s="2"/>
      <c r="U37" s="2"/>
      <c r="V37" s="2"/>
    </row>
    <row r="38" spans="1:39" ht="12.95">
      <c r="I38" s="4"/>
      <c r="J38" s="4"/>
      <c r="K38" s="4"/>
      <c r="L38" s="4"/>
      <c r="M38" s="4"/>
      <c r="N38" s="4"/>
      <c r="O38" s="4"/>
      <c r="P38" s="2"/>
      <c r="Q38" s="2"/>
      <c r="R38" s="2"/>
      <c r="S38" s="2"/>
      <c r="T38" s="2"/>
      <c r="U38" s="2"/>
      <c r="V38" s="2"/>
    </row>
    <row r="39" spans="1:39" ht="12.95">
      <c r="I39" s="4"/>
      <c r="J39" s="4"/>
      <c r="K39" s="4"/>
      <c r="L39" s="4"/>
      <c r="M39" s="4"/>
      <c r="N39" s="4"/>
      <c r="O39" s="4"/>
      <c r="P39" s="2"/>
      <c r="Q39" s="2"/>
      <c r="R39" s="2"/>
      <c r="S39" s="2"/>
      <c r="T39" s="2"/>
      <c r="U39" s="2"/>
      <c r="V39" s="2"/>
    </row>
    <row r="40" spans="1:39" ht="12.95">
      <c r="I40" s="4"/>
      <c r="J40" s="4"/>
      <c r="K40" s="4"/>
      <c r="L40" s="4"/>
      <c r="M40" s="4"/>
      <c r="N40" s="4"/>
      <c r="O40" s="4"/>
      <c r="P40" s="2"/>
      <c r="Q40" s="2"/>
      <c r="R40" s="2"/>
      <c r="S40" s="2"/>
      <c r="T40" s="2"/>
      <c r="U40" s="2"/>
      <c r="V40" s="2"/>
    </row>
    <row r="41" spans="1:39" ht="12.95">
      <c r="I41" s="4"/>
      <c r="J41" s="4"/>
      <c r="K41" s="4"/>
      <c r="L41" s="4"/>
      <c r="M41" s="4"/>
      <c r="N41" s="4"/>
      <c r="O41" s="4"/>
      <c r="P41" s="2"/>
      <c r="Q41" s="2"/>
      <c r="R41" s="2"/>
      <c r="S41" s="2"/>
      <c r="T41" s="2"/>
      <c r="U41" s="2"/>
      <c r="V41" s="2"/>
    </row>
    <row r="42" spans="1:39" ht="12.95">
      <c r="I42" s="4"/>
      <c r="J42" s="4"/>
      <c r="K42" s="4"/>
      <c r="L42" s="4"/>
      <c r="M42" s="4"/>
      <c r="N42" s="4"/>
      <c r="O42" s="4"/>
      <c r="P42" s="2"/>
      <c r="Q42" s="2"/>
      <c r="R42" s="2"/>
      <c r="S42" s="2"/>
      <c r="T42" s="2"/>
      <c r="U42" s="2"/>
      <c r="V42" s="2"/>
    </row>
    <row r="43" spans="1:39" ht="12.95">
      <c r="I43" s="4"/>
      <c r="J43" s="4"/>
      <c r="K43" s="4"/>
      <c r="L43" s="4"/>
      <c r="M43" s="4"/>
      <c r="N43" s="4"/>
      <c r="O43" s="4"/>
      <c r="P43" s="2"/>
      <c r="Q43" s="2"/>
      <c r="R43" s="2"/>
      <c r="S43" s="2"/>
      <c r="T43" s="2"/>
      <c r="U43" s="2"/>
      <c r="V43" s="2"/>
    </row>
    <row r="44" spans="1:39" ht="12.95">
      <c r="I44" s="4"/>
      <c r="J44" s="4"/>
      <c r="K44" s="4"/>
      <c r="L44" s="4"/>
      <c r="M44" s="4"/>
      <c r="N44" s="4"/>
      <c r="O44" s="4"/>
      <c r="P44" s="2"/>
      <c r="Q44" s="2"/>
      <c r="R44" s="2"/>
      <c r="S44" s="2"/>
      <c r="T44" s="2"/>
      <c r="U44" s="2"/>
      <c r="V44" s="2"/>
    </row>
    <row r="45" spans="1:39" ht="13.5" thickBot="1">
      <c r="I45" s="4"/>
      <c r="J45" s="4"/>
      <c r="K45" s="4"/>
      <c r="L45" s="4"/>
      <c r="M45" s="4"/>
      <c r="N45" s="4"/>
      <c r="O45" s="4"/>
      <c r="P45" s="2"/>
      <c r="Q45" s="2"/>
      <c r="R45" s="2"/>
      <c r="S45" s="2"/>
      <c r="T45" s="2"/>
      <c r="U45" s="2"/>
      <c r="V45" s="2"/>
    </row>
    <row r="46" spans="1:39" ht="12.95">
      <c r="A46" s="218"/>
      <c r="B46" s="219"/>
      <c r="C46" s="219"/>
      <c r="D46" s="219"/>
      <c r="E46" s="219"/>
      <c r="F46" s="219"/>
      <c r="G46" s="219"/>
      <c r="H46" s="219"/>
      <c r="I46" s="220"/>
      <c r="J46" s="220"/>
      <c r="K46" s="220"/>
      <c r="L46" s="220"/>
      <c r="M46" s="220"/>
      <c r="N46" s="220"/>
      <c r="O46" s="220"/>
      <c r="P46" s="221"/>
      <c r="Q46" s="221"/>
      <c r="R46" s="221"/>
      <c r="S46" s="221"/>
      <c r="T46" s="221"/>
      <c r="U46" s="221"/>
      <c r="V46" s="221"/>
      <c r="W46" s="219"/>
      <c r="X46" s="219"/>
      <c r="Y46" s="219"/>
      <c r="Z46" s="219"/>
      <c r="AA46" s="219"/>
      <c r="AB46" s="219"/>
      <c r="AC46" s="219"/>
      <c r="AD46" s="219"/>
      <c r="AE46" s="219"/>
      <c r="AF46" s="219"/>
      <c r="AG46" s="219"/>
      <c r="AH46" s="219"/>
      <c r="AI46" s="219"/>
      <c r="AJ46" s="219"/>
      <c r="AK46" s="219"/>
      <c r="AL46" s="219"/>
      <c r="AM46" s="222"/>
    </row>
    <row r="47" spans="1:39" ht="12.95">
      <c r="A47" s="223"/>
      <c r="B47" s="224"/>
      <c r="C47" s="224"/>
      <c r="D47" s="224"/>
      <c r="E47" s="224"/>
      <c r="F47" s="224"/>
      <c r="G47" s="224"/>
      <c r="H47" s="224"/>
      <c r="I47" s="225"/>
      <c r="J47" s="225"/>
      <c r="K47" s="225"/>
      <c r="L47" s="225"/>
      <c r="M47" s="225"/>
      <c r="N47" s="225"/>
      <c r="O47" s="225"/>
      <c r="P47" s="226"/>
      <c r="Q47" s="226"/>
      <c r="R47" s="226"/>
      <c r="S47" s="226"/>
      <c r="T47" s="226"/>
      <c r="U47" s="226"/>
      <c r="V47" s="226"/>
      <c r="W47" s="224"/>
      <c r="X47" s="224"/>
      <c r="Y47" s="224"/>
      <c r="Z47" s="224"/>
      <c r="AA47" s="224"/>
      <c r="AB47" s="224"/>
      <c r="AC47" s="224"/>
      <c r="AD47" s="224"/>
      <c r="AE47" s="224"/>
      <c r="AF47" s="224"/>
      <c r="AG47" s="224"/>
      <c r="AH47" s="224"/>
      <c r="AI47" s="224"/>
      <c r="AJ47" s="224"/>
      <c r="AK47" s="224"/>
      <c r="AL47" s="224"/>
      <c r="AM47" s="227"/>
    </row>
    <row r="48" spans="1:39" ht="12.75" customHeight="1">
      <c r="A48" s="223"/>
      <c r="B48" s="224"/>
      <c r="C48" s="224"/>
      <c r="D48" s="224"/>
      <c r="E48" s="224"/>
      <c r="F48" s="224"/>
      <c r="G48" s="224"/>
      <c r="H48" s="224"/>
      <c r="I48" s="224"/>
      <c r="J48" s="224"/>
      <c r="K48" s="224"/>
      <c r="L48" s="224"/>
      <c r="M48" s="224"/>
      <c r="N48" s="224"/>
      <c r="O48" s="224"/>
      <c r="P48" s="224"/>
      <c r="Q48" s="224"/>
      <c r="R48" s="224"/>
      <c r="S48" s="224"/>
      <c r="T48" s="224"/>
      <c r="U48" s="224"/>
      <c r="V48" s="224"/>
      <c r="W48" s="224"/>
      <c r="X48" s="224"/>
      <c r="Y48" s="224"/>
      <c r="Z48" s="224"/>
      <c r="AA48" s="224"/>
      <c r="AB48" s="224"/>
      <c r="AC48" s="224"/>
      <c r="AD48" s="224"/>
      <c r="AE48" s="224"/>
      <c r="AF48" s="224"/>
      <c r="AG48" s="224"/>
      <c r="AH48" s="224"/>
      <c r="AI48" s="224"/>
      <c r="AJ48" s="224"/>
      <c r="AK48" s="224"/>
      <c r="AL48" s="224"/>
      <c r="AM48" s="227"/>
    </row>
    <row r="49" spans="1:54" ht="14.1" customHeight="1">
      <c r="A49" s="223"/>
      <c r="B49" s="224"/>
      <c r="C49" s="224"/>
      <c r="D49" s="224"/>
      <c r="E49" s="224"/>
      <c r="F49" s="224"/>
      <c r="G49" s="224"/>
      <c r="H49" s="224"/>
      <c r="I49" s="224"/>
      <c r="J49" s="224"/>
      <c r="K49" s="224"/>
      <c r="L49" s="224"/>
      <c r="M49" s="224"/>
      <c r="N49" s="224"/>
      <c r="O49" s="224"/>
      <c r="P49" s="224"/>
      <c r="Q49" s="224"/>
      <c r="R49" s="224"/>
      <c r="S49" s="224"/>
      <c r="T49" s="224"/>
      <c r="U49" s="224"/>
      <c r="V49" s="224"/>
      <c r="W49" s="224"/>
      <c r="X49" s="224"/>
      <c r="Y49" s="224"/>
      <c r="Z49" s="224"/>
      <c r="AA49" s="224"/>
      <c r="AB49" s="224"/>
      <c r="AC49" s="224"/>
      <c r="AD49" s="224"/>
      <c r="AE49" s="224"/>
      <c r="AF49" s="224"/>
      <c r="AG49" s="224"/>
      <c r="AH49" s="224"/>
      <c r="AI49" s="224"/>
      <c r="AJ49" s="224"/>
      <c r="AK49" s="224"/>
      <c r="AL49" s="224"/>
      <c r="AM49" s="227"/>
    </row>
    <row r="50" spans="1:54" ht="12.75" customHeight="1">
      <c r="A50" s="223"/>
      <c r="B50" s="224"/>
      <c r="C50" s="224"/>
      <c r="D50" s="224"/>
      <c r="E50" s="224"/>
      <c r="F50" s="224"/>
      <c r="G50" s="224"/>
      <c r="H50" s="224"/>
      <c r="I50" s="224"/>
      <c r="J50" s="224"/>
      <c r="K50" s="224"/>
      <c r="L50" s="224"/>
      <c r="M50" s="224"/>
      <c r="N50" s="224"/>
      <c r="O50" s="224"/>
      <c r="P50" s="224"/>
      <c r="Q50" s="224"/>
      <c r="R50" s="224"/>
      <c r="S50" s="224"/>
      <c r="T50" s="224"/>
      <c r="U50" s="224"/>
      <c r="V50" s="224"/>
      <c r="W50" s="224"/>
      <c r="X50" s="224"/>
      <c r="Y50" s="224"/>
      <c r="Z50" s="224"/>
      <c r="AA50" s="224"/>
      <c r="AB50" s="224"/>
      <c r="AC50" s="224"/>
      <c r="AD50" s="224"/>
      <c r="AE50" s="224"/>
      <c r="AF50" s="224"/>
      <c r="AG50" s="224"/>
      <c r="AH50" s="224"/>
      <c r="AI50" s="224"/>
      <c r="AJ50" s="224"/>
      <c r="AK50" s="224"/>
      <c r="AL50" s="224"/>
      <c r="AM50" s="227"/>
    </row>
    <row r="51" spans="1:54" ht="13.5" thickBot="1">
      <c r="A51" s="228"/>
      <c r="B51" s="229"/>
      <c r="C51" s="229"/>
      <c r="D51" s="229"/>
      <c r="E51" s="229"/>
      <c r="F51" s="229"/>
      <c r="G51" s="229"/>
      <c r="H51" s="229"/>
      <c r="I51" s="229"/>
      <c r="J51" s="229"/>
      <c r="K51" s="229"/>
      <c r="L51" s="229"/>
      <c r="M51" s="229"/>
      <c r="N51" s="229"/>
      <c r="O51" s="229"/>
      <c r="P51" s="229"/>
      <c r="Q51" s="229"/>
      <c r="R51" s="229"/>
      <c r="S51" s="229"/>
      <c r="T51" s="229"/>
      <c r="U51" s="229"/>
      <c r="V51" s="229"/>
      <c r="W51" s="229"/>
      <c r="X51" s="229"/>
      <c r="Y51" s="229"/>
      <c r="Z51" s="229"/>
      <c r="AA51" s="229"/>
      <c r="AB51" s="229"/>
      <c r="AC51" s="229"/>
      <c r="AD51" s="229"/>
      <c r="AE51" s="229"/>
      <c r="AF51" s="229"/>
      <c r="AG51" s="229"/>
      <c r="AH51" s="229"/>
      <c r="AI51" s="229"/>
      <c r="AJ51" s="229"/>
      <c r="AK51" s="229"/>
      <c r="AL51" s="229"/>
      <c r="AM51" s="230"/>
    </row>
    <row r="52" spans="1:54" ht="14.1" customHeight="1">
      <c r="A52" s="484" t="s">
        <v>37</v>
      </c>
      <c r="B52" s="485"/>
      <c r="C52" s="485"/>
      <c r="D52" s="485"/>
      <c r="E52" s="485"/>
      <c r="F52" s="486"/>
      <c r="G52" s="487" t="s">
        <v>38</v>
      </c>
      <c r="H52" s="488"/>
      <c r="I52" s="488"/>
      <c r="J52" s="488"/>
      <c r="K52" s="488"/>
      <c r="L52" s="488"/>
      <c r="M52" s="488"/>
      <c r="N52" s="488"/>
      <c r="O52" s="488"/>
      <c r="P52" s="488"/>
      <c r="Q52" s="488"/>
      <c r="R52" s="488"/>
      <c r="S52" s="488"/>
      <c r="T52" s="488"/>
      <c r="U52" s="488"/>
      <c r="V52" s="488"/>
      <c r="W52" s="488"/>
      <c r="X52" s="488"/>
      <c r="Y52" s="488"/>
      <c r="Z52" s="488"/>
      <c r="AA52" s="488"/>
      <c r="AB52" s="488"/>
      <c r="AC52" s="488"/>
      <c r="AD52" s="488"/>
      <c r="AE52" s="488"/>
      <c r="AF52" s="488"/>
      <c r="AG52" s="488"/>
      <c r="AH52" s="488"/>
      <c r="AI52" s="488"/>
      <c r="AJ52" s="488"/>
      <c r="AK52" s="488"/>
      <c r="AL52" s="488"/>
      <c r="AM52" s="489"/>
    </row>
    <row r="53" spans="1:54" ht="14.1" customHeight="1">
      <c r="A53" s="470" t="s">
        <v>39</v>
      </c>
      <c r="B53" s="471"/>
      <c r="C53" s="471"/>
      <c r="D53" s="471"/>
      <c r="E53" s="471"/>
      <c r="F53" s="472"/>
      <c r="G53" s="473" t="s">
        <v>40</v>
      </c>
      <c r="H53" s="474"/>
      <c r="I53" s="474"/>
      <c r="J53" s="474"/>
      <c r="K53" s="474"/>
      <c r="L53" s="474"/>
      <c r="M53" s="474"/>
      <c r="N53" s="474"/>
      <c r="O53" s="474"/>
      <c r="P53" s="474"/>
      <c r="Q53" s="474"/>
      <c r="R53" s="474"/>
      <c r="S53" s="474"/>
      <c r="T53" s="474"/>
      <c r="U53" s="474"/>
      <c r="V53" s="474"/>
      <c r="W53" s="474"/>
      <c r="X53" s="474"/>
      <c r="Y53" s="474"/>
      <c r="Z53" s="474"/>
      <c r="AA53" s="474"/>
      <c r="AB53" s="474"/>
      <c r="AC53" s="474"/>
      <c r="AD53" s="474"/>
      <c r="AE53" s="474"/>
      <c r="AF53" s="474"/>
      <c r="AG53" s="474"/>
      <c r="AH53" s="474"/>
      <c r="AI53" s="474"/>
      <c r="AJ53" s="474"/>
      <c r="AK53" s="474"/>
      <c r="AL53" s="474"/>
      <c r="AM53" s="475"/>
    </row>
    <row r="54" spans="1:54" ht="14.1" customHeight="1">
      <c r="A54" s="470" t="s">
        <v>41</v>
      </c>
      <c r="B54" s="471"/>
      <c r="C54" s="471"/>
      <c r="D54" s="471"/>
      <c r="E54" s="471"/>
      <c r="F54" s="472"/>
      <c r="G54" s="473" t="s">
        <v>42</v>
      </c>
      <c r="H54" s="474"/>
      <c r="I54" s="474"/>
      <c r="J54" s="474"/>
      <c r="K54" s="474"/>
      <c r="L54" s="474"/>
      <c r="M54" s="474"/>
      <c r="N54" s="474"/>
      <c r="O54" s="474"/>
      <c r="P54" s="474"/>
      <c r="Q54" s="474"/>
      <c r="R54" s="474"/>
      <c r="S54" s="474"/>
      <c r="T54" s="474"/>
      <c r="U54" s="474"/>
      <c r="V54" s="474"/>
      <c r="W54" s="474"/>
      <c r="X54" s="474"/>
      <c r="Y54" s="474"/>
      <c r="Z54" s="474"/>
      <c r="AA54" s="474"/>
      <c r="AB54" s="474"/>
      <c r="AC54" s="474"/>
      <c r="AD54" s="474"/>
      <c r="AE54" s="474"/>
      <c r="AF54" s="474"/>
      <c r="AG54" s="474"/>
      <c r="AH54" s="474"/>
      <c r="AI54" s="474"/>
      <c r="AJ54" s="474"/>
      <c r="AK54" s="474"/>
      <c r="AL54" s="474"/>
      <c r="AM54" s="475"/>
    </row>
    <row r="55" spans="1:54" ht="14.1" customHeight="1">
      <c r="A55" s="470" t="s">
        <v>43</v>
      </c>
      <c r="B55" s="471"/>
      <c r="C55" s="471"/>
      <c r="D55" s="471"/>
      <c r="E55" s="471"/>
      <c r="F55" s="472"/>
      <c r="G55" s="473" t="s">
        <v>44</v>
      </c>
      <c r="H55" s="474"/>
      <c r="I55" s="474"/>
      <c r="J55" s="474"/>
      <c r="K55" s="474"/>
      <c r="L55" s="474"/>
      <c r="M55" s="474"/>
      <c r="N55" s="474"/>
      <c r="O55" s="474"/>
      <c r="P55" s="474"/>
      <c r="Q55" s="474"/>
      <c r="R55" s="474"/>
      <c r="S55" s="474"/>
      <c r="T55" s="474"/>
      <c r="U55" s="474"/>
      <c r="V55" s="474"/>
      <c r="W55" s="474"/>
      <c r="X55" s="474"/>
      <c r="Y55" s="474"/>
      <c r="Z55" s="474"/>
      <c r="AA55" s="474"/>
      <c r="AB55" s="474"/>
      <c r="AC55" s="474"/>
      <c r="AD55" s="474"/>
      <c r="AE55" s="474"/>
      <c r="AF55" s="474"/>
      <c r="AG55" s="474"/>
      <c r="AH55" s="474"/>
      <c r="AI55" s="474"/>
      <c r="AJ55" s="474"/>
      <c r="AK55" s="474"/>
      <c r="AL55" s="474"/>
      <c r="AM55" s="475"/>
    </row>
    <row r="56" spans="1:54" ht="14.1" customHeight="1" thickBot="1">
      <c r="A56" s="476" t="s">
        <v>45</v>
      </c>
      <c r="B56" s="477"/>
      <c r="C56" s="477"/>
      <c r="D56" s="477"/>
      <c r="E56" s="477"/>
      <c r="F56" s="478"/>
      <c r="G56" s="479" t="s">
        <v>46</v>
      </c>
      <c r="H56" s="480"/>
      <c r="I56" s="480"/>
      <c r="J56" s="480"/>
      <c r="K56" s="480"/>
      <c r="L56" s="480"/>
      <c r="M56" s="480"/>
      <c r="N56" s="480"/>
      <c r="O56" s="480"/>
      <c r="P56" s="480"/>
      <c r="Q56" s="480"/>
      <c r="R56" s="480"/>
      <c r="S56" s="480"/>
      <c r="T56" s="480"/>
      <c r="U56" s="480"/>
      <c r="V56" s="480"/>
      <c r="W56" s="480"/>
      <c r="X56" s="480"/>
      <c r="Y56" s="480"/>
      <c r="Z56" s="480"/>
      <c r="AA56" s="480"/>
      <c r="AB56" s="480"/>
      <c r="AC56" s="480"/>
      <c r="AD56" s="480"/>
      <c r="AE56" s="480"/>
      <c r="AF56" s="480"/>
      <c r="AG56" s="480"/>
      <c r="AH56" s="480"/>
      <c r="AI56" s="480"/>
      <c r="AJ56" s="480"/>
      <c r="AK56" s="480"/>
      <c r="AL56" s="480"/>
      <c r="AM56" s="481"/>
    </row>
    <row r="57" spans="1:54" s="6" customFormat="1" ht="47.25" customHeight="1" thickBot="1">
      <c r="A57" s="69" t="s">
        <v>47</v>
      </c>
      <c r="B57" s="462" t="s">
        <v>48</v>
      </c>
      <c r="C57" s="462"/>
      <c r="D57" s="463" t="s">
        <v>49</v>
      </c>
      <c r="E57" s="464"/>
      <c r="F57" s="464"/>
      <c r="G57" s="464"/>
      <c r="H57" s="464"/>
      <c r="I57" s="464"/>
      <c r="J57" s="464"/>
      <c r="K57" s="464"/>
      <c r="L57" s="464"/>
      <c r="M57" s="464"/>
      <c r="N57" s="464"/>
      <c r="O57" s="464"/>
      <c r="P57" s="464"/>
      <c r="Q57" s="464"/>
      <c r="R57" s="464"/>
      <c r="S57" s="464"/>
      <c r="T57" s="464"/>
      <c r="U57" s="464"/>
      <c r="V57" s="464"/>
      <c r="W57" s="464"/>
      <c r="X57" s="464"/>
      <c r="Y57" s="464"/>
      <c r="Z57" s="464"/>
      <c r="AA57" s="464"/>
      <c r="AB57" s="464"/>
      <c r="AC57" s="464"/>
      <c r="AD57" s="464"/>
      <c r="AE57" s="464"/>
      <c r="AF57" s="464"/>
      <c r="AG57" s="464"/>
      <c r="AH57" s="464"/>
      <c r="AI57" s="464"/>
      <c r="AJ57" s="464"/>
      <c r="AK57" s="107" t="s">
        <v>50</v>
      </c>
      <c r="AL57" s="46" t="s">
        <v>51</v>
      </c>
      <c r="AM57" s="46" t="s">
        <v>52</v>
      </c>
      <c r="AN57" s="141" t="s">
        <v>53</v>
      </c>
      <c r="AO57" s="75" t="s">
        <v>54</v>
      </c>
      <c r="AP57" s="76" t="s">
        <v>55</v>
      </c>
      <c r="AQ57" s="76" t="s">
        <v>56</v>
      </c>
      <c r="AR57" s="76" t="s">
        <v>57</v>
      </c>
      <c r="AS57" s="76" t="s">
        <v>58</v>
      </c>
      <c r="AT57" s="76" t="s">
        <v>59</v>
      </c>
      <c r="AU57" s="76" t="s">
        <v>60</v>
      </c>
      <c r="AV57" s="76" t="s">
        <v>61</v>
      </c>
      <c r="AW57" s="76" t="s">
        <v>62</v>
      </c>
      <c r="AX57" s="76" t="s">
        <v>63</v>
      </c>
      <c r="AY57" s="76" t="s">
        <v>64</v>
      </c>
      <c r="AZ57" s="76" t="s">
        <v>65</v>
      </c>
      <c r="BA57" s="76" t="s">
        <v>66</v>
      </c>
      <c r="BB57" s="77" t="s">
        <v>67</v>
      </c>
    </row>
    <row r="58" spans="1:54" s="3" customFormat="1" ht="14.1" customHeight="1">
      <c r="A58" s="85">
        <v>46143</v>
      </c>
      <c r="B58" s="465"/>
      <c r="C58" s="466"/>
      <c r="D58" s="467"/>
      <c r="E58" s="467"/>
      <c r="F58" s="467"/>
      <c r="G58" s="467"/>
      <c r="H58" s="467"/>
      <c r="I58" s="467"/>
      <c r="J58" s="467"/>
      <c r="K58" s="467"/>
      <c r="L58" s="467"/>
      <c r="M58" s="467"/>
      <c r="N58" s="467"/>
      <c r="O58" s="467"/>
      <c r="P58" s="467"/>
      <c r="Q58" s="467"/>
      <c r="R58" s="467"/>
      <c r="S58" s="467"/>
      <c r="T58" s="467"/>
      <c r="U58" s="467"/>
      <c r="V58" s="467"/>
      <c r="W58" s="467"/>
      <c r="X58" s="467"/>
      <c r="Y58" s="467"/>
      <c r="Z58" s="467"/>
      <c r="AA58" s="467"/>
      <c r="AB58" s="467"/>
      <c r="AC58" s="467"/>
      <c r="AD58" s="467"/>
      <c r="AE58" s="467"/>
      <c r="AF58" s="467"/>
      <c r="AG58" s="467"/>
      <c r="AH58" s="467"/>
      <c r="AI58" s="467"/>
      <c r="AJ58" s="468"/>
      <c r="AK58" s="101"/>
      <c r="AL58" s="104"/>
      <c r="AM58" s="132"/>
      <c r="AN58" s="142"/>
      <c r="AO58" s="136">
        <f t="shared" ref="AO58:AO88" si="3">A58</f>
        <v>46143</v>
      </c>
      <c r="AP58" s="86" t="str">
        <f>LEFT(D58,6)</f>
        <v/>
      </c>
      <c r="AQ58" s="87"/>
      <c r="AR58" s="88"/>
      <c r="AS58" s="88"/>
      <c r="AT58" s="89"/>
      <c r="AU58" s="88"/>
      <c r="AV58" s="89"/>
      <c r="AW58" s="88"/>
      <c r="AX58" s="89"/>
      <c r="AY58" s="88"/>
      <c r="AZ58" s="88"/>
      <c r="BA58" s="89"/>
      <c r="BB58" s="90"/>
    </row>
    <row r="59" spans="1:54" s="3" customFormat="1" ht="14.1" customHeight="1">
      <c r="A59" s="70">
        <v>46144</v>
      </c>
      <c r="B59" s="469"/>
      <c r="C59" s="460"/>
      <c r="D59" s="440"/>
      <c r="E59" s="440"/>
      <c r="F59" s="440"/>
      <c r="G59" s="440"/>
      <c r="H59" s="440"/>
      <c r="I59" s="440"/>
      <c r="J59" s="440"/>
      <c r="K59" s="440"/>
      <c r="L59" s="440"/>
      <c r="M59" s="440"/>
      <c r="N59" s="440"/>
      <c r="O59" s="440"/>
      <c r="P59" s="440"/>
      <c r="Q59" s="440"/>
      <c r="R59" s="440"/>
      <c r="S59" s="440"/>
      <c r="T59" s="440"/>
      <c r="U59" s="440"/>
      <c r="V59" s="440"/>
      <c r="W59" s="440"/>
      <c r="X59" s="440"/>
      <c r="Y59" s="440"/>
      <c r="Z59" s="440"/>
      <c r="AA59" s="440"/>
      <c r="AB59" s="440"/>
      <c r="AC59" s="440"/>
      <c r="AD59" s="440"/>
      <c r="AE59" s="440"/>
      <c r="AF59" s="440"/>
      <c r="AG59" s="440"/>
      <c r="AH59" s="440"/>
      <c r="AI59" s="440"/>
      <c r="AJ59" s="441"/>
      <c r="AK59" s="102"/>
      <c r="AL59" s="105"/>
      <c r="AM59" s="134"/>
      <c r="AN59" s="144"/>
      <c r="AO59" s="138">
        <f t="shared" si="3"/>
        <v>46144</v>
      </c>
      <c r="AP59" s="78" t="str">
        <f t="shared" ref="AP59:AP88" si="4">LEFT(D59,6)</f>
        <v/>
      </c>
      <c r="AQ59" s="79"/>
      <c r="AR59" s="80"/>
      <c r="AS59" s="80"/>
      <c r="AT59" s="405"/>
      <c r="AU59" s="80"/>
      <c r="AV59" s="81"/>
      <c r="AW59" s="80"/>
      <c r="AX59" s="81"/>
      <c r="AY59" s="80"/>
      <c r="AZ59" s="80"/>
      <c r="BA59" s="80"/>
      <c r="BB59" s="91"/>
    </row>
    <row r="60" spans="1:54" s="3" customFormat="1" ht="14.1" customHeight="1">
      <c r="A60" s="70">
        <v>46145</v>
      </c>
      <c r="B60" s="457"/>
      <c r="C60" s="457"/>
      <c r="D60" s="440"/>
      <c r="E60" s="440"/>
      <c r="F60" s="440"/>
      <c r="G60" s="440"/>
      <c r="H60" s="440"/>
      <c r="I60" s="440"/>
      <c r="J60" s="440"/>
      <c r="K60" s="440"/>
      <c r="L60" s="440"/>
      <c r="M60" s="440"/>
      <c r="N60" s="440"/>
      <c r="O60" s="440"/>
      <c r="P60" s="440"/>
      <c r="Q60" s="440"/>
      <c r="R60" s="440"/>
      <c r="S60" s="440"/>
      <c r="T60" s="440"/>
      <c r="U60" s="440"/>
      <c r="V60" s="440"/>
      <c r="W60" s="440"/>
      <c r="X60" s="440"/>
      <c r="Y60" s="440"/>
      <c r="Z60" s="440"/>
      <c r="AA60" s="440"/>
      <c r="AB60" s="440"/>
      <c r="AC60" s="440"/>
      <c r="AD60" s="440"/>
      <c r="AE60" s="440"/>
      <c r="AF60" s="440"/>
      <c r="AG60" s="440"/>
      <c r="AH60" s="440"/>
      <c r="AI60" s="440"/>
      <c r="AJ60" s="441"/>
      <c r="AK60" s="102"/>
      <c r="AL60" s="105"/>
      <c r="AM60" s="134"/>
      <c r="AN60" s="386"/>
      <c r="AO60" s="138">
        <f t="shared" si="3"/>
        <v>46145</v>
      </c>
      <c r="AP60" s="78" t="str">
        <f t="shared" si="4"/>
        <v/>
      </c>
      <c r="AQ60" s="79"/>
      <c r="AR60" s="80"/>
      <c r="AS60" s="162"/>
      <c r="AT60" s="156"/>
      <c r="AU60" s="166"/>
      <c r="AV60" s="72"/>
      <c r="AW60" s="80"/>
      <c r="AX60" s="80"/>
      <c r="AY60" s="80"/>
      <c r="AZ60" s="80"/>
      <c r="BA60" s="80"/>
      <c r="BB60" s="91"/>
    </row>
    <row r="61" spans="1:54" s="3" customFormat="1" ht="15">
      <c r="A61" s="111">
        <v>46146</v>
      </c>
      <c r="B61" s="454" t="s">
        <v>68</v>
      </c>
      <c r="C61" s="454"/>
      <c r="D61" s="455" t="s">
        <v>69</v>
      </c>
      <c r="E61" s="455"/>
      <c r="F61" s="455"/>
      <c r="G61" s="455"/>
      <c r="H61" s="455"/>
      <c r="I61" s="455"/>
      <c r="J61" s="455"/>
      <c r="K61" s="455"/>
      <c r="L61" s="455"/>
      <c r="M61" s="455"/>
      <c r="N61" s="455"/>
      <c r="O61" s="455"/>
      <c r="P61" s="455"/>
      <c r="Q61" s="455"/>
      <c r="R61" s="455"/>
      <c r="S61" s="455"/>
      <c r="T61" s="455"/>
      <c r="U61" s="455"/>
      <c r="V61" s="455"/>
      <c r="W61" s="455"/>
      <c r="X61" s="455"/>
      <c r="Y61" s="455"/>
      <c r="Z61" s="455"/>
      <c r="AA61" s="455"/>
      <c r="AB61" s="455"/>
      <c r="AC61" s="455"/>
      <c r="AD61" s="455"/>
      <c r="AE61" s="455"/>
      <c r="AF61" s="455"/>
      <c r="AG61" s="455"/>
      <c r="AH61" s="455"/>
      <c r="AI61" s="455"/>
      <c r="AJ61" s="456"/>
      <c r="AK61" s="112"/>
      <c r="AL61" s="235">
        <v>4</v>
      </c>
      <c r="AM61" s="135">
        <f>IF(AL61="CO", "CO", IF(COUNTIF(AO:AO, A61)=0, 0, (8-SUMIF(AO:AO, A61, AL:AL)) / COUNTIF(AO:AO, A61)))</f>
        <v>4</v>
      </c>
      <c r="AN61" s="408" t="s">
        <v>220</v>
      </c>
      <c r="AO61" s="139">
        <f t="shared" si="3"/>
        <v>46146</v>
      </c>
      <c r="AP61" s="114" t="str">
        <f t="shared" si="4"/>
        <v xml:space="preserve">SA1.1 </v>
      </c>
      <c r="AQ61" s="115"/>
      <c r="AR61" s="116"/>
      <c r="AS61" s="163"/>
      <c r="AT61" s="413"/>
      <c r="AU61" s="167"/>
      <c r="AV61" s="118"/>
      <c r="AW61" s="116"/>
      <c r="AX61" s="118"/>
      <c r="AY61" s="116"/>
      <c r="AZ61" s="116"/>
      <c r="BA61" s="116"/>
      <c r="BB61" s="119"/>
    </row>
    <row r="62" spans="1:54" s="3" customFormat="1" ht="91.5">
      <c r="A62" s="111">
        <v>46147</v>
      </c>
      <c r="B62" s="454" t="s">
        <v>68</v>
      </c>
      <c r="C62" s="454"/>
      <c r="D62" s="455" t="s">
        <v>69</v>
      </c>
      <c r="E62" s="455"/>
      <c r="F62" s="455"/>
      <c r="G62" s="455"/>
      <c r="H62" s="455"/>
      <c r="I62" s="455"/>
      <c r="J62" s="455"/>
      <c r="K62" s="455"/>
      <c r="L62" s="455"/>
      <c r="M62" s="455"/>
      <c r="N62" s="455"/>
      <c r="O62" s="455"/>
      <c r="P62" s="455"/>
      <c r="Q62" s="455"/>
      <c r="R62" s="455"/>
      <c r="S62" s="455"/>
      <c r="T62" s="455"/>
      <c r="U62" s="455"/>
      <c r="V62" s="455"/>
      <c r="W62" s="455"/>
      <c r="X62" s="455"/>
      <c r="Y62" s="455"/>
      <c r="Z62" s="455"/>
      <c r="AA62" s="455"/>
      <c r="AB62" s="455"/>
      <c r="AC62" s="455"/>
      <c r="AD62" s="455"/>
      <c r="AE62" s="455"/>
      <c r="AF62" s="455"/>
      <c r="AG62" s="455"/>
      <c r="AH62" s="455"/>
      <c r="AI62" s="455"/>
      <c r="AJ62" s="456"/>
      <c r="AK62" s="112"/>
      <c r="AL62" s="113">
        <v>2</v>
      </c>
      <c r="AM62" s="135">
        <f>IF(AL62="CO", "CO", IF(COUNTIF(AO:AO, A62)=0, 0, (8-SUMIF(AO:AO, A62, AL:AL)) / COUNTIF(AO:AO, A62)))</f>
        <v>6</v>
      </c>
      <c r="AN62" s="145" t="s">
        <v>221</v>
      </c>
      <c r="AO62" s="139">
        <f t="shared" si="3"/>
        <v>46147</v>
      </c>
      <c r="AP62" s="114" t="str">
        <f t="shared" si="4"/>
        <v xml:space="preserve">SA1.1 </v>
      </c>
      <c r="AQ62" s="115" t="s">
        <v>76</v>
      </c>
      <c r="AR62" s="116" t="s">
        <v>77</v>
      </c>
      <c r="AS62" s="163" t="s">
        <v>222</v>
      </c>
      <c r="AT62" s="159" t="s">
        <v>223</v>
      </c>
      <c r="AU62" s="167"/>
      <c r="AV62" s="84"/>
      <c r="AW62" s="116"/>
      <c r="AX62" s="116"/>
      <c r="AY62" s="116"/>
      <c r="AZ62" s="116"/>
      <c r="BA62" s="116"/>
      <c r="BB62" s="119"/>
    </row>
    <row r="63" spans="1:54" s="3" customFormat="1" ht="91.5">
      <c r="A63" s="111">
        <v>46148</v>
      </c>
      <c r="B63" s="454" t="s">
        <v>68</v>
      </c>
      <c r="C63" s="454"/>
      <c r="D63" s="455" t="s">
        <v>69</v>
      </c>
      <c r="E63" s="455"/>
      <c r="F63" s="455"/>
      <c r="G63" s="455"/>
      <c r="H63" s="455"/>
      <c r="I63" s="455"/>
      <c r="J63" s="455"/>
      <c r="K63" s="455"/>
      <c r="L63" s="455"/>
      <c r="M63" s="455"/>
      <c r="N63" s="455"/>
      <c r="O63" s="455"/>
      <c r="P63" s="455"/>
      <c r="Q63" s="455"/>
      <c r="R63" s="455"/>
      <c r="S63" s="455"/>
      <c r="T63" s="455"/>
      <c r="U63" s="455"/>
      <c r="V63" s="455"/>
      <c r="W63" s="455"/>
      <c r="X63" s="455"/>
      <c r="Y63" s="455"/>
      <c r="Z63" s="455"/>
      <c r="AA63" s="455"/>
      <c r="AB63" s="455"/>
      <c r="AC63" s="455"/>
      <c r="AD63" s="455"/>
      <c r="AE63" s="455"/>
      <c r="AF63" s="455"/>
      <c r="AG63" s="455"/>
      <c r="AH63" s="455"/>
      <c r="AI63" s="455"/>
      <c r="AJ63" s="456"/>
      <c r="AK63" s="112"/>
      <c r="AL63" s="113">
        <v>5</v>
      </c>
      <c r="AM63" s="135">
        <f>IF(AL63="CO", "CO", IF(COUNTIF(AO:AO, A63)=0, 0, (8-SUMIF(AO:AO, A63, AL:AL)) / COUNTIF(AO:AO, A63)))</f>
        <v>3</v>
      </c>
      <c r="AN63" s="145" t="s">
        <v>224</v>
      </c>
      <c r="AO63" s="139">
        <f t="shared" si="3"/>
        <v>46148</v>
      </c>
      <c r="AP63" s="114" t="str">
        <f t="shared" si="4"/>
        <v xml:space="preserve">SA1.1 </v>
      </c>
      <c r="AQ63" s="115" t="s">
        <v>76</v>
      </c>
      <c r="AR63" s="116" t="s">
        <v>77</v>
      </c>
      <c r="AS63" s="163" t="s">
        <v>78</v>
      </c>
      <c r="AT63" s="159" t="s">
        <v>225</v>
      </c>
      <c r="AU63" s="167"/>
      <c r="AV63" s="118"/>
      <c r="AW63" s="116"/>
      <c r="AX63" s="83"/>
      <c r="AY63" s="116"/>
      <c r="AZ63" s="116"/>
      <c r="BA63" s="116"/>
      <c r="BB63" s="117"/>
    </row>
    <row r="64" spans="1:54" s="3" customFormat="1" ht="60.75">
      <c r="A64" s="111">
        <v>46149</v>
      </c>
      <c r="B64" s="454" t="s">
        <v>68</v>
      </c>
      <c r="C64" s="454"/>
      <c r="D64" s="455" t="s">
        <v>69</v>
      </c>
      <c r="E64" s="455"/>
      <c r="F64" s="455"/>
      <c r="G64" s="455"/>
      <c r="H64" s="455"/>
      <c r="I64" s="455"/>
      <c r="J64" s="455"/>
      <c r="K64" s="455"/>
      <c r="L64" s="455"/>
      <c r="M64" s="455"/>
      <c r="N64" s="455"/>
      <c r="O64" s="455"/>
      <c r="P64" s="455"/>
      <c r="Q64" s="455"/>
      <c r="R64" s="455"/>
      <c r="S64" s="455"/>
      <c r="T64" s="455"/>
      <c r="U64" s="455"/>
      <c r="V64" s="455"/>
      <c r="W64" s="455"/>
      <c r="X64" s="455"/>
      <c r="Y64" s="455"/>
      <c r="Z64" s="455"/>
      <c r="AA64" s="455"/>
      <c r="AB64" s="455"/>
      <c r="AC64" s="455"/>
      <c r="AD64" s="455"/>
      <c r="AE64" s="455"/>
      <c r="AF64" s="455"/>
      <c r="AG64" s="455"/>
      <c r="AH64" s="455"/>
      <c r="AI64" s="455"/>
      <c r="AJ64" s="456"/>
      <c r="AK64" s="112"/>
      <c r="AL64" s="113">
        <v>6</v>
      </c>
      <c r="AM64" s="135">
        <f>IF(AL64="CO", "CO", IF(COUNTIF(AO:AO, A64)=0, 0, (8-SUMIF(AO:AO, A64, AL:AL)) / COUNTIF(AO:AO, A64)))</f>
        <v>2</v>
      </c>
      <c r="AN64" s="212" t="s">
        <v>193</v>
      </c>
      <c r="AO64" s="139">
        <f t="shared" si="3"/>
        <v>46149</v>
      </c>
      <c r="AP64" s="114" t="str">
        <f t="shared" si="4"/>
        <v xml:space="preserve">SA1.1 </v>
      </c>
      <c r="AQ64" s="115" t="s">
        <v>71</v>
      </c>
      <c r="AR64" s="387" t="s">
        <v>226</v>
      </c>
      <c r="AS64" s="163" t="s">
        <v>78</v>
      </c>
      <c r="AT64" s="159" t="s">
        <v>227</v>
      </c>
      <c r="AU64" s="167"/>
      <c r="AV64" s="83"/>
      <c r="AW64" s="116"/>
      <c r="AX64" s="83"/>
      <c r="AY64" s="116"/>
      <c r="AZ64" s="116"/>
      <c r="BA64" s="116"/>
      <c r="BB64" s="117"/>
    </row>
    <row r="65" spans="1:54" s="3" customFormat="1" ht="106.5">
      <c r="A65" s="111">
        <v>46150</v>
      </c>
      <c r="B65" s="458" t="s">
        <v>68</v>
      </c>
      <c r="C65" s="459"/>
      <c r="D65" s="455" t="s">
        <v>69</v>
      </c>
      <c r="E65" s="455"/>
      <c r="F65" s="455"/>
      <c r="G65" s="455"/>
      <c r="H65" s="455"/>
      <c r="I65" s="455"/>
      <c r="J65" s="455"/>
      <c r="K65" s="455"/>
      <c r="L65" s="455"/>
      <c r="M65" s="455"/>
      <c r="N65" s="455"/>
      <c r="O65" s="455"/>
      <c r="P65" s="455"/>
      <c r="Q65" s="455"/>
      <c r="R65" s="455"/>
      <c r="S65" s="455"/>
      <c r="T65" s="455"/>
      <c r="U65" s="455"/>
      <c r="V65" s="455"/>
      <c r="W65" s="455"/>
      <c r="X65" s="455"/>
      <c r="Y65" s="455"/>
      <c r="Z65" s="455"/>
      <c r="AA65" s="455"/>
      <c r="AB65" s="455"/>
      <c r="AC65" s="455"/>
      <c r="AD65" s="455"/>
      <c r="AE65" s="455"/>
      <c r="AF65" s="455"/>
      <c r="AG65" s="455"/>
      <c r="AH65" s="455"/>
      <c r="AI65" s="455"/>
      <c r="AJ65" s="456"/>
      <c r="AK65" s="112"/>
      <c r="AL65" s="113">
        <v>3</v>
      </c>
      <c r="AM65" s="135">
        <f>IF(AL65="CO", "CO", IF(COUNTIF(AO:AO, A65)=0, 0, (8-SUMIF(AO:AO, A65, AL:AL)) / COUNTIF(AO:AO, A65)))</f>
        <v>5</v>
      </c>
      <c r="AN65" s="146" t="s">
        <v>228</v>
      </c>
      <c r="AO65" s="139">
        <f t="shared" si="3"/>
        <v>46150</v>
      </c>
      <c r="AP65" s="114" t="str">
        <f t="shared" si="4"/>
        <v xml:space="preserve">SA1.1 </v>
      </c>
      <c r="AQ65" s="115" t="s">
        <v>76</v>
      </c>
      <c r="AR65" s="116" t="s">
        <v>77</v>
      </c>
      <c r="AS65" s="163" t="s">
        <v>222</v>
      </c>
      <c r="AT65" s="159" t="s">
        <v>229</v>
      </c>
      <c r="AU65" s="167"/>
      <c r="AV65" s="118"/>
      <c r="AW65" s="116"/>
      <c r="AX65" s="120"/>
      <c r="AY65" s="116"/>
      <c r="AZ65" s="116"/>
      <c r="BA65" s="116"/>
      <c r="BB65" s="117"/>
    </row>
    <row r="66" spans="1:54" s="3" customFormat="1" ht="14.1" customHeight="1">
      <c r="A66" s="70">
        <v>46151</v>
      </c>
      <c r="B66" s="460"/>
      <c r="C66" s="461"/>
      <c r="D66" s="440"/>
      <c r="E66" s="440"/>
      <c r="F66" s="440"/>
      <c r="G66" s="440"/>
      <c r="H66" s="440"/>
      <c r="I66" s="440"/>
      <c r="J66" s="440"/>
      <c r="K66" s="440"/>
      <c r="L66" s="440"/>
      <c r="M66" s="440"/>
      <c r="N66" s="440"/>
      <c r="O66" s="440"/>
      <c r="P66" s="440"/>
      <c r="Q66" s="440"/>
      <c r="R66" s="440"/>
      <c r="S66" s="440"/>
      <c r="T66" s="440"/>
      <c r="U66" s="440"/>
      <c r="V66" s="440"/>
      <c r="W66" s="440"/>
      <c r="X66" s="440"/>
      <c r="Y66" s="440"/>
      <c r="Z66" s="440"/>
      <c r="AA66" s="440"/>
      <c r="AB66" s="440"/>
      <c r="AC66" s="440"/>
      <c r="AD66" s="440"/>
      <c r="AE66" s="440"/>
      <c r="AF66" s="440"/>
      <c r="AG66" s="440"/>
      <c r="AH66" s="440"/>
      <c r="AI66" s="440"/>
      <c r="AJ66" s="441"/>
      <c r="AK66" s="102"/>
      <c r="AL66" s="105"/>
      <c r="AM66" s="134"/>
      <c r="AN66" s="184"/>
      <c r="AO66" s="138">
        <f>A66</f>
        <v>46151</v>
      </c>
      <c r="AP66" s="78" t="str">
        <f>LEFT(D66,6)</f>
        <v/>
      </c>
      <c r="AQ66" s="79"/>
      <c r="AR66" s="80"/>
      <c r="AS66" s="162"/>
      <c r="AT66" s="156"/>
      <c r="AU66" s="166"/>
      <c r="AV66" s="72"/>
      <c r="AW66" s="80"/>
      <c r="AX66" s="82"/>
      <c r="AY66" s="80"/>
      <c r="AZ66" s="80"/>
      <c r="BA66" s="80"/>
      <c r="BB66" s="91"/>
    </row>
    <row r="67" spans="1:54" s="3" customFormat="1" ht="14.1" customHeight="1">
      <c r="A67" s="70">
        <v>46152</v>
      </c>
      <c r="B67" s="457"/>
      <c r="C67" s="457"/>
      <c r="D67" s="440"/>
      <c r="E67" s="440"/>
      <c r="F67" s="440"/>
      <c r="G67" s="440"/>
      <c r="H67" s="440"/>
      <c r="I67" s="440"/>
      <c r="J67" s="440"/>
      <c r="K67" s="440"/>
      <c r="L67" s="440"/>
      <c r="M67" s="440"/>
      <c r="N67" s="440"/>
      <c r="O67" s="440"/>
      <c r="P67" s="440"/>
      <c r="Q67" s="440"/>
      <c r="R67" s="440"/>
      <c r="S67" s="440"/>
      <c r="T67" s="440"/>
      <c r="U67" s="440"/>
      <c r="V67" s="440"/>
      <c r="W67" s="440"/>
      <c r="X67" s="440"/>
      <c r="Y67" s="440"/>
      <c r="Z67" s="440"/>
      <c r="AA67" s="440"/>
      <c r="AB67" s="440"/>
      <c r="AC67" s="440"/>
      <c r="AD67" s="440"/>
      <c r="AE67" s="440"/>
      <c r="AF67" s="440"/>
      <c r="AG67" s="440"/>
      <c r="AH67" s="440"/>
      <c r="AI67" s="440"/>
      <c r="AJ67" s="441"/>
      <c r="AK67" s="102"/>
      <c r="AL67" s="105"/>
      <c r="AM67" s="134"/>
      <c r="AN67" s="184"/>
      <c r="AO67" s="138">
        <f t="shared" si="3"/>
        <v>46152</v>
      </c>
      <c r="AP67" s="78" t="str">
        <f t="shared" si="4"/>
        <v/>
      </c>
      <c r="AQ67" s="79"/>
      <c r="AR67" s="80"/>
      <c r="AS67" s="162"/>
      <c r="AT67" s="156"/>
      <c r="AU67" s="166"/>
      <c r="AV67" s="72"/>
      <c r="AW67" s="80"/>
      <c r="AX67" s="82"/>
      <c r="AY67" s="80"/>
      <c r="AZ67" s="80"/>
      <c r="BA67" s="80"/>
      <c r="BB67" s="92"/>
    </row>
    <row r="68" spans="1:54" s="3" customFormat="1" ht="60.75">
      <c r="A68" s="111">
        <v>46153</v>
      </c>
      <c r="B68" s="454" t="s">
        <v>68</v>
      </c>
      <c r="C68" s="454"/>
      <c r="D68" s="455" t="s">
        <v>69</v>
      </c>
      <c r="E68" s="455"/>
      <c r="F68" s="455"/>
      <c r="G68" s="455"/>
      <c r="H68" s="455"/>
      <c r="I68" s="455"/>
      <c r="J68" s="455"/>
      <c r="K68" s="455"/>
      <c r="L68" s="455"/>
      <c r="M68" s="455"/>
      <c r="N68" s="455"/>
      <c r="O68" s="455"/>
      <c r="P68" s="455"/>
      <c r="Q68" s="455"/>
      <c r="R68" s="455"/>
      <c r="S68" s="455"/>
      <c r="T68" s="455"/>
      <c r="U68" s="455"/>
      <c r="V68" s="455"/>
      <c r="W68" s="455"/>
      <c r="X68" s="455"/>
      <c r="Y68" s="455"/>
      <c r="Z68" s="455"/>
      <c r="AA68" s="455"/>
      <c r="AB68" s="455"/>
      <c r="AC68" s="455"/>
      <c r="AD68" s="455"/>
      <c r="AE68" s="455"/>
      <c r="AF68" s="455"/>
      <c r="AG68" s="455"/>
      <c r="AH68" s="455"/>
      <c r="AI68" s="455"/>
      <c r="AJ68" s="456"/>
      <c r="AK68" s="112"/>
      <c r="AL68" s="113">
        <v>8</v>
      </c>
      <c r="AM68" s="135">
        <f>IF(AL68="CO", "CO", IF(COUNTIF(AO:AO, A68)=0, 0, (8-SUMIF(AO:AO, A68, AL:AL)) / COUNTIF(AO:AO, A68)))</f>
        <v>0</v>
      </c>
      <c r="AN68" s="407" t="s">
        <v>230</v>
      </c>
      <c r="AO68" s="139">
        <f t="shared" si="3"/>
        <v>46153</v>
      </c>
      <c r="AP68" s="114" t="str">
        <f t="shared" si="4"/>
        <v xml:space="preserve">SA1.1 </v>
      </c>
      <c r="AQ68" s="115" t="s">
        <v>71</v>
      </c>
      <c r="AR68" s="116" t="s">
        <v>231</v>
      </c>
      <c r="AS68" s="163" t="s">
        <v>222</v>
      </c>
      <c r="AT68" s="159" t="s">
        <v>232</v>
      </c>
      <c r="AU68" s="167"/>
      <c r="AV68" s="83"/>
      <c r="AW68" s="116"/>
      <c r="AX68" s="120"/>
      <c r="AY68" s="116"/>
      <c r="AZ68" s="116"/>
      <c r="BA68" s="116"/>
      <c r="BB68" s="117"/>
    </row>
    <row r="69" spans="1:54" s="3" customFormat="1" ht="76.5">
      <c r="A69" s="111">
        <v>46154</v>
      </c>
      <c r="B69" s="454" t="s">
        <v>68</v>
      </c>
      <c r="C69" s="454"/>
      <c r="D69" s="455" t="s">
        <v>69</v>
      </c>
      <c r="E69" s="455"/>
      <c r="F69" s="455"/>
      <c r="G69" s="455"/>
      <c r="H69" s="455"/>
      <c r="I69" s="455"/>
      <c r="J69" s="455"/>
      <c r="K69" s="455"/>
      <c r="L69" s="455"/>
      <c r="M69" s="455"/>
      <c r="N69" s="455"/>
      <c r="O69" s="455"/>
      <c r="P69" s="455"/>
      <c r="Q69" s="455"/>
      <c r="R69" s="455"/>
      <c r="S69" s="455"/>
      <c r="T69" s="455"/>
      <c r="U69" s="455"/>
      <c r="V69" s="455"/>
      <c r="W69" s="455"/>
      <c r="X69" s="455"/>
      <c r="Y69" s="455"/>
      <c r="Z69" s="455"/>
      <c r="AA69" s="455"/>
      <c r="AB69" s="455"/>
      <c r="AC69" s="455"/>
      <c r="AD69" s="455"/>
      <c r="AE69" s="455"/>
      <c r="AF69" s="455"/>
      <c r="AG69" s="455"/>
      <c r="AH69" s="455"/>
      <c r="AI69" s="455"/>
      <c r="AJ69" s="456"/>
      <c r="AK69" s="112"/>
      <c r="AL69" s="113">
        <v>5</v>
      </c>
      <c r="AM69" s="135">
        <f>IF(AL69="CO", "CO", IF(COUNTIF(AO:AO, A69)=0, 0, (8-SUMIF(AO:AO, A69, AL:AL)) / COUNTIF(AO:AO, A69)))</f>
        <v>3</v>
      </c>
      <c r="AN69" s="145" t="s">
        <v>233</v>
      </c>
      <c r="AO69" s="139">
        <f t="shared" si="3"/>
        <v>46154</v>
      </c>
      <c r="AP69" s="114" t="str">
        <f t="shared" si="4"/>
        <v xml:space="preserve">SA1.1 </v>
      </c>
      <c r="AQ69" s="115" t="s">
        <v>76</v>
      </c>
      <c r="AR69" s="116" t="s">
        <v>77</v>
      </c>
      <c r="AS69" s="164" t="s">
        <v>222</v>
      </c>
      <c r="AT69" s="159" t="s">
        <v>234</v>
      </c>
      <c r="AU69" s="167"/>
      <c r="AV69" s="83"/>
      <c r="AW69" s="116"/>
      <c r="AX69" s="120"/>
      <c r="AY69" s="116"/>
      <c r="AZ69" s="116"/>
      <c r="BA69" s="116"/>
      <c r="BB69" s="117"/>
    </row>
    <row r="70" spans="1:54" s="3" customFormat="1" ht="106.5">
      <c r="A70" s="111">
        <v>46155</v>
      </c>
      <c r="B70" s="454" t="s">
        <v>68</v>
      </c>
      <c r="C70" s="454"/>
      <c r="D70" s="455" t="s">
        <v>69</v>
      </c>
      <c r="E70" s="455"/>
      <c r="F70" s="455"/>
      <c r="G70" s="455"/>
      <c r="H70" s="455"/>
      <c r="I70" s="455"/>
      <c r="J70" s="455"/>
      <c r="K70" s="455"/>
      <c r="L70" s="455"/>
      <c r="M70" s="455"/>
      <c r="N70" s="455"/>
      <c r="O70" s="455"/>
      <c r="P70" s="455"/>
      <c r="Q70" s="455"/>
      <c r="R70" s="455"/>
      <c r="S70" s="455"/>
      <c r="T70" s="455"/>
      <c r="U70" s="455"/>
      <c r="V70" s="455"/>
      <c r="W70" s="455"/>
      <c r="X70" s="455"/>
      <c r="Y70" s="455"/>
      <c r="Z70" s="455"/>
      <c r="AA70" s="455"/>
      <c r="AB70" s="455"/>
      <c r="AC70" s="455"/>
      <c r="AD70" s="455"/>
      <c r="AE70" s="455"/>
      <c r="AF70" s="455"/>
      <c r="AG70" s="455"/>
      <c r="AH70" s="455"/>
      <c r="AI70" s="455"/>
      <c r="AJ70" s="456"/>
      <c r="AK70" s="112"/>
      <c r="AL70" s="113">
        <v>3</v>
      </c>
      <c r="AM70" s="135">
        <f>IF(AL70="CO", "CO", IF(COUNTIF(AO:AO, A70)=0, 0, (8-SUMIF(AO:AO, A70, AL:AL)) / COUNTIF(AO:AO, A70)))</f>
        <v>5</v>
      </c>
      <c r="AN70" s="145" t="s">
        <v>235</v>
      </c>
      <c r="AO70" s="139">
        <f t="shared" si="3"/>
        <v>46155</v>
      </c>
      <c r="AP70" s="114" t="str">
        <f t="shared" si="4"/>
        <v xml:space="preserve">SA1.1 </v>
      </c>
      <c r="AQ70" s="115" t="s">
        <v>76</v>
      </c>
      <c r="AR70" s="116" t="s">
        <v>77</v>
      </c>
      <c r="AS70" s="164" t="s">
        <v>78</v>
      </c>
      <c r="AT70" s="409" t="s">
        <v>236</v>
      </c>
      <c r="AU70" s="167"/>
      <c r="AV70" s="83"/>
      <c r="AW70" s="116"/>
      <c r="AX70" s="120"/>
      <c r="AY70" s="116"/>
      <c r="AZ70" s="116"/>
      <c r="BA70" s="116"/>
      <c r="BB70" s="117"/>
    </row>
    <row r="71" spans="1:54" s="3" customFormat="1" ht="76.5">
      <c r="A71" s="111">
        <v>46156</v>
      </c>
      <c r="B71" s="454" t="s">
        <v>68</v>
      </c>
      <c r="C71" s="454"/>
      <c r="D71" s="455" t="s">
        <v>69</v>
      </c>
      <c r="E71" s="455"/>
      <c r="F71" s="455"/>
      <c r="G71" s="455"/>
      <c r="H71" s="455"/>
      <c r="I71" s="455"/>
      <c r="J71" s="455"/>
      <c r="K71" s="455"/>
      <c r="L71" s="455"/>
      <c r="M71" s="455"/>
      <c r="N71" s="455"/>
      <c r="O71" s="455"/>
      <c r="P71" s="455"/>
      <c r="Q71" s="455"/>
      <c r="R71" s="455"/>
      <c r="S71" s="455"/>
      <c r="T71" s="455"/>
      <c r="U71" s="455"/>
      <c r="V71" s="455"/>
      <c r="W71" s="455"/>
      <c r="X71" s="455"/>
      <c r="Y71" s="455"/>
      <c r="Z71" s="455"/>
      <c r="AA71" s="455"/>
      <c r="AB71" s="455"/>
      <c r="AC71" s="455"/>
      <c r="AD71" s="455"/>
      <c r="AE71" s="455"/>
      <c r="AF71" s="455"/>
      <c r="AG71" s="455"/>
      <c r="AH71" s="455"/>
      <c r="AI71" s="455"/>
      <c r="AJ71" s="456"/>
      <c r="AK71" s="112"/>
      <c r="AL71" s="113">
        <v>6</v>
      </c>
      <c r="AM71" s="135">
        <f>IF(AL71="CO", "CO", IF(COUNTIF(AO:AO, A71)=0, 0, (8-SUMIF(AO:AO, A71, AL:AL)) / COUNTIF(AO:AO, A71)))</f>
        <v>2</v>
      </c>
      <c r="AN71" s="145" t="s">
        <v>237</v>
      </c>
      <c r="AO71" s="139">
        <f t="shared" si="3"/>
        <v>46156</v>
      </c>
      <c r="AP71" s="114" t="str">
        <f t="shared" si="4"/>
        <v xml:space="preserve">SA1.1 </v>
      </c>
      <c r="AQ71" s="115" t="s">
        <v>76</v>
      </c>
      <c r="AR71" s="116" t="s">
        <v>77</v>
      </c>
      <c r="AS71" s="163" t="s">
        <v>222</v>
      </c>
      <c r="AT71" s="159" t="s">
        <v>238</v>
      </c>
      <c r="AU71" s="167"/>
      <c r="AV71" s="118"/>
      <c r="AW71" s="116"/>
      <c r="AX71" s="120"/>
      <c r="AY71" s="116"/>
      <c r="AZ71" s="116"/>
      <c r="BA71" s="116"/>
      <c r="BB71" s="117"/>
    </row>
    <row r="72" spans="1:54" s="3" customFormat="1" ht="76.5">
      <c r="A72" s="111">
        <v>46157</v>
      </c>
      <c r="B72" s="454" t="s">
        <v>68</v>
      </c>
      <c r="C72" s="454"/>
      <c r="D72" s="455" t="s">
        <v>69</v>
      </c>
      <c r="E72" s="455"/>
      <c r="F72" s="455"/>
      <c r="G72" s="455"/>
      <c r="H72" s="455"/>
      <c r="I72" s="455"/>
      <c r="J72" s="455"/>
      <c r="K72" s="455"/>
      <c r="L72" s="455"/>
      <c r="M72" s="455"/>
      <c r="N72" s="455"/>
      <c r="O72" s="455"/>
      <c r="P72" s="455"/>
      <c r="Q72" s="455"/>
      <c r="R72" s="455"/>
      <c r="S72" s="455"/>
      <c r="T72" s="455"/>
      <c r="U72" s="455"/>
      <c r="V72" s="455"/>
      <c r="W72" s="455"/>
      <c r="X72" s="455"/>
      <c r="Y72" s="455"/>
      <c r="Z72" s="455"/>
      <c r="AA72" s="455"/>
      <c r="AB72" s="455"/>
      <c r="AC72" s="455"/>
      <c r="AD72" s="455"/>
      <c r="AE72" s="455"/>
      <c r="AF72" s="455"/>
      <c r="AG72" s="455"/>
      <c r="AH72" s="455"/>
      <c r="AI72" s="455"/>
      <c r="AJ72" s="456"/>
      <c r="AK72" s="112"/>
      <c r="AL72" s="113">
        <v>2</v>
      </c>
      <c r="AM72" s="135">
        <f>IF(AL72="CO", "CO", IF(COUNTIF(AO:AO, A72)=0, 0, (8-SUMIF(AO:AO, A72, AL:AL)) / COUNTIF(AO:AO, A72)))</f>
        <v>6</v>
      </c>
      <c r="AN72" s="388" t="s">
        <v>239</v>
      </c>
      <c r="AO72" s="139">
        <f t="shared" si="3"/>
        <v>46157</v>
      </c>
      <c r="AP72" s="114" t="str">
        <f t="shared" si="4"/>
        <v xml:space="preserve">SA1.1 </v>
      </c>
      <c r="AQ72" s="115" t="s">
        <v>76</v>
      </c>
      <c r="AR72" s="116" t="s">
        <v>77</v>
      </c>
      <c r="AS72" s="163" t="s">
        <v>222</v>
      </c>
      <c r="AT72" s="159" t="s">
        <v>240</v>
      </c>
      <c r="AU72" s="167"/>
      <c r="AV72" s="118"/>
      <c r="AW72" s="116"/>
      <c r="AX72" s="120"/>
      <c r="AY72" s="116"/>
      <c r="AZ72" s="116"/>
      <c r="BA72" s="116"/>
      <c r="BB72" s="119"/>
    </row>
    <row r="73" spans="1:54" s="3" customFormat="1" ht="14.1" customHeight="1">
      <c r="A73" s="70">
        <v>46158</v>
      </c>
      <c r="B73" s="457"/>
      <c r="C73" s="457"/>
      <c r="D73" s="440"/>
      <c r="E73" s="440"/>
      <c r="F73" s="440"/>
      <c r="G73" s="440"/>
      <c r="H73" s="440"/>
      <c r="I73" s="440"/>
      <c r="J73" s="440"/>
      <c r="K73" s="440"/>
      <c r="L73" s="440"/>
      <c r="M73" s="440"/>
      <c r="N73" s="440"/>
      <c r="O73" s="440"/>
      <c r="P73" s="440"/>
      <c r="Q73" s="440"/>
      <c r="R73" s="440"/>
      <c r="S73" s="440"/>
      <c r="T73" s="440"/>
      <c r="U73" s="440"/>
      <c r="V73" s="440"/>
      <c r="W73" s="440"/>
      <c r="X73" s="440"/>
      <c r="Y73" s="440"/>
      <c r="Z73" s="440"/>
      <c r="AA73" s="440"/>
      <c r="AB73" s="440"/>
      <c r="AC73" s="440"/>
      <c r="AD73" s="440"/>
      <c r="AE73" s="440"/>
      <c r="AF73" s="440"/>
      <c r="AG73" s="440"/>
      <c r="AH73" s="440"/>
      <c r="AI73" s="440"/>
      <c r="AJ73" s="441"/>
      <c r="AK73" s="102"/>
      <c r="AL73" s="105"/>
      <c r="AM73" s="134"/>
      <c r="AN73" s="370"/>
      <c r="AO73" s="138">
        <f t="shared" si="3"/>
        <v>46158</v>
      </c>
      <c r="AP73" s="78" t="str">
        <f t="shared" si="4"/>
        <v/>
      </c>
      <c r="AQ73" s="79"/>
      <c r="AR73" s="80"/>
      <c r="AS73" s="162"/>
      <c r="AT73" s="156"/>
      <c r="AU73" s="166"/>
      <c r="AV73" s="72"/>
      <c r="AW73" s="80"/>
      <c r="AX73" s="82"/>
      <c r="AY73" s="80"/>
      <c r="AZ73" s="80"/>
      <c r="BA73" s="80"/>
      <c r="BB73" s="92"/>
    </row>
    <row r="74" spans="1:54" s="3" customFormat="1" ht="14.1" customHeight="1">
      <c r="A74" s="70">
        <v>46159</v>
      </c>
      <c r="B74" s="457"/>
      <c r="C74" s="457"/>
      <c r="D74" s="440"/>
      <c r="E74" s="440"/>
      <c r="F74" s="440"/>
      <c r="G74" s="440"/>
      <c r="H74" s="440"/>
      <c r="I74" s="440"/>
      <c r="J74" s="440"/>
      <c r="K74" s="440"/>
      <c r="L74" s="440"/>
      <c r="M74" s="440"/>
      <c r="N74" s="440"/>
      <c r="O74" s="440"/>
      <c r="P74" s="440"/>
      <c r="Q74" s="440"/>
      <c r="R74" s="440"/>
      <c r="S74" s="440"/>
      <c r="T74" s="440"/>
      <c r="U74" s="440"/>
      <c r="V74" s="440"/>
      <c r="W74" s="440"/>
      <c r="X74" s="440"/>
      <c r="Y74" s="440"/>
      <c r="Z74" s="440"/>
      <c r="AA74" s="440"/>
      <c r="AB74" s="440"/>
      <c r="AC74" s="440"/>
      <c r="AD74" s="440"/>
      <c r="AE74" s="440"/>
      <c r="AF74" s="440"/>
      <c r="AG74" s="440"/>
      <c r="AH74" s="440"/>
      <c r="AI74" s="440"/>
      <c r="AJ74" s="441"/>
      <c r="AK74" s="102"/>
      <c r="AL74" s="105"/>
      <c r="AM74" s="134"/>
      <c r="AN74" s="370"/>
      <c r="AO74" s="138">
        <f t="shared" si="3"/>
        <v>46159</v>
      </c>
      <c r="AP74" s="78" t="str">
        <f>LEFT(D74,6)</f>
        <v/>
      </c>
      <c r="AQ74" s="79"/>
      <c r="AR74" s="80"/>
      <c r="AS74" s="162"/>
      <c r="AT74" s="395"/>
      <c r="AU74" s="166"/>
      <c r="AV74" s="81"/>
      <c r="AW74" s="80"/>
      <c r="AX74" s="80"/>
      <c r="AY74" s="80"/>
      <c r="AZ74" s="80"/>
      <c r="BA74" s="80"/>
      <c r="BB74" s="389"/>
    </row>
    <row r="75" spans="1:54" s="3" customFormat="1" ht="60.75">
      <c r="A75" s="111">
        <v>46160</v>
      </c>
      <c r="B75" s="454" t="s">
        <v>68</v>
      </c>
      <c r="C75" s="454"/>
      <c r="D75" s="455" t="s">
        <v>69</v>
      </c>
      <c r="E75" s="455"/>
      <c r="F75" s="455"/>
      <c r="G75" s="455"/>
      <c r="H75" s="455"/>
      <c r="I75" s="455"/>
      <c r="J75" s="455"/>
      <c r="K75" s="455"/>
      <c r="L75" s="455"/>
      <c r="M75" s="455"/>
      <c r="N75" s="455"/>
      <c r="O75" s="455"/>
      <c r="P75" s="455"/>
      <c r="Q75" s="455"/>
      <c r="R75" s="455"/>
      <c r="S75" s="455"/>
      <c r="T75" s="455"/>
      <c r="U75" s="455"/>
      <c r="V75" s="455"/>
      <c r="W75" s="455"/>
      <c r="X75" s="455"/>
      <c r="Y75" s="455"/>
      <c r="Z75" s="455"/>
      <c r="AA75" s="455"/>
      <c r="AB75" s="455"/>
      <c r="AC75" s="455"/>
      <c r="AD75" s="455"/>
      <c r="AE75" s="455"/>
      <c r="AF75" s="455"/>
      <c r="AG75" s="455"/>
      <c r="AH75" s="455"/>
      <c r="AI75" s="455"/>
      <c r="AJ75" s="456"/>
      <c r="AK75" s="112"/>
      <c r="AL75" s="113">
        <v>4</v>
      </c>
      <c r="AM75" s="135">
        <f>IF(AL75="CO", "CO", IF(COUNTIF(AO:AO, A75)=0, 0, (8-SUMIF(AO:AO, A75, AL:AL)) / COUNTIF(AO:AO, A75)))</f>
        <v>4</v>
      </c>
      <c r="AN75" s="579" t="s">
        <v>220</v>
      </c>
      <c r="AO75" s="139">
        <f t="shared" si="3"/>
        <v>46160</v>
      </c>
      <c r="AP75" s="114" t="str">
        <f t="shared" si="4"/>
        <v xml:space="preserve">SA1.1 </v>
      </c>
      <c r="AQ75" s="115" t="s">
        <v>71</v>
      </c>
      <c r="AR75" s="116" t="s">
        <v>186</v>
      </c>
      <c r="AS75" s="163" t="s">
        <v>222</v>
      </c>
      <c r="AT75" s="159" t="s">
        <v>241</v>
      </c>
      <c r="AU75" s="167"/>
      <c r="AV75" s="116"/>
      <c r="AW75" s="116"/>
      <c r="AX75" s="120"/>
      <c r="AY75" s="116"/>
      <c r="AZ75" s="116"/>
      <c r="BA75" s="116"/>
      <c r="BB75" s="117"/>
    </row>
    <row r="76" spans="1:54" s="3" customFormat="1" ht="27" customHeight="1">
      <c r="A76" s="111">
        <v>46161</v>
      </c>
      <c r="B76" s="454" t="s">
        <v>68</v>
      </c>
      <c r="C76" s="454"/>
      <c r="D76" s="455" t="s">
        <v>69</v>
      </c>
      <c r="E76" s="455"/>
      <c r="F76" s="455"/>
      <c r="G76" s="455"/>
      <c r="H76" s="455"/>
      <c r="I76" s="455"/>
      <c r="J76" s="455"/>
      <c r="K76" s="455"/>
      <c r="L76" s="455"/>
      <c r="M76" s="455"/>
      <c r="N76" s="455"/>
      <c r="O76" s="455"/>
      <c r="P76" s="455"/>
      <c r="Q76" s="455"/>
      <c r="R76" s="455"/>
      <c r="S76" s="455"/>
      <c r="T76" s="455"/>
      <c r="U76" s="455"/>
      <c r="V76" s="455"/>
      <c r="W76" s="455"/>
      <c r="X76" s="455"/>
      <c r="Y76" s="455"/>
      <c r="Z76" s="455"/>
      <c r="AA76" s="455"/>
      <c r="AB76" s="455"/>
      <c r="AC76" s="455"/>
      <c r="AD76" s="455"/>
      <c r="AE76" s="455"/>
      <c r="AF76" s="455"/>
      <c r="AG76" s="455"/>
      <c r="AH76" s="455"/>
      <c r="AI76" s="455"/>
      <c r="AJ76" s="456"/>
      <c r="AK76" s="112"/>
      <c r="AL76" s="113"/>
      <c r="AM76" s="135">
        <f>IF(AL76="CO", "CO", IF(COUNTIF(AO:AO, A76)=0, 0, (8-SUMIF(AO:AO, A76, AL:AL)) / COUNTIF(AO:AO, A76)))</f>
        <v>8</v>
      </c>
      <c r="AN76" s="390"/>
      <c r="AO76" s="237">
        <f>A76</f>
        <v>46161</v>
      </c>
      <c r="AP76" s="238" t="str">
        <f>LEFT(D76,6)</f>
        <v xml:space="preserve">SA1.1 </v>
      </c>
      <c r="AQ76" s="239"/>
      <c r="AR76" s="240"/>
      <c r="AS76" s="371"/>
      <c r="AT76" s="401"/>
      <c r="AU76" s="358"/>
      <c r="AV76" s="116"/>
      <c r="AW76" s="240"/>
      <c r="AX76" s="120"/>
      <c r="AY76" s="116"/>
      <c r="AZ76" s="116"/>
      <c r="BA76" s="116"/>
      <c r="BB76" s="117"/>
    </row>
    <row r="77" spans="1:54" s="3" customFormat="1" ht="27" customHeight="1">
      <c r="A77" s="111">
        <v>46162</v>
      </c>
      <c r="B77" s="458" t="s">
        <v>68</v>
      </c>
      <c r="C77" s="459"/>
      <c r="D77" s="455" t="s">
        <v>69</v>
      </c>
      <c r="E77" s="455"/>
      <c r="F77" s="455"/>
      <c r="G77" s="455"/>
      <c r="H77" s="455"/>
      <c r="I77" s="455"/>
      <c r="J77" s="455"/>
      <c r="K77" s="455"/>
      <c r="L77" s="455"/>
      <c r="M77" s="455"/>
      <c r="N77" s="455"/>
      <c r="O77" s="455"/>
      <c r="P77" s="455"/>
      <c r="Q77" s="455"/>
      <c r="R77" s="455"/>
      <c r="S77" s="455"/>
      <c r="T77" s="455"/>
      <c r="U77" s="455"/>
      <c r="V77" s="455"/>
      <c r="W77" s="455"/>
      <c r="X77" s="455"/>
      <c r="Y77" s="455"/>
      <c r="Z77" s="455"/>
      <c r="AA77" s="455"/>
      <c r="AB77" s="455"/>
      <c r="AC77" s="455"/>
      <c r="AD77" s="455"/>
      <c r="AE77" s="455"/>
      <c r="AF77" s="455"/>
      <c r="AG77" s="455"/>
      <c r="AH77" s="455"/>
      <c r="AI77" s="455"/>
      <c r="AJ77" s="456"/>
      <c r="AK77" s="112"/>
      <c r="AL77" s="113">
        <v>2</v>
      </c>
      <c r="AM77" s="135">
        <f>IF(AL77="CO", "CO", IF(COUNTIF(AO:AO, A77)=0, 0, (8-SUMIF(AO:AO, A77, AL:AL)) / COUNTIF(AO:AO, A77)))</f>
        <v>6</v>
      </c>
      <c r="AN77" s="150" t="s">
        <v>201</v>
      </c>
      <c r="AO77" s="139">
        <f t="shared" si="3"/>
        <v>46162</v>
      </c>
      <c r="AP77" s="114" t="str">
        <f t="shared" si="4"/>
        <v xml:space="preserve">SA1.1 </v>
      </c>
      <c r="AQ77" s="115" t="s">
        <v>71</v>
      </c>
      <c r="AR77" s="116" t="s">
        <v>242</v>
      </c>
      <c r="AS77" s="163"/>
      <c r="AT77" s="411"/>
      <c r="AU77" s="167"/>
      <c r="AV77" s="83"/>
      <c r="AW77" s="116"/>
      <c r="AX77" s="116"/>
      <c r="AY77" s="116"/>
      <c r="AZ77" s="116"/>
      <c r="BA77" s="116"/>
      <c r="BB77" s="117"/>
    </row>
    <row r="78" spans="1:54" s="3" customFormat="1" ht="91.5">
      <c r="A78" s="111">
        <v>46163</v>
      </c>
      <c r="B78" s="454" t="s">
        <v>68</v>
      </c>
      <c r="C78" s="454"/>
      <c r="D78" s="455" t="s">
        <v>69</v>
      </c>
      <c r="E78" s="455"/>
      <c r="F78" s="455"/>
      <c r="G78" s="455"/>
      <c r="H78" s="455"/>
      <c r="I78" s="455"/>
      <c r="J78" s="455"/>
      <c r="K78" s="455"/>
      <c r="L78" s="455"/>
      <c r="M78" s="455"/>
      <c r="N78" s="455"/>
      <c r="O78" s="455"/>
      <c r="P78" s="455"/>
      <c r="Q78" s="455"/>
      <c r="R78" s="455"/>
      <c r="S78" s="455"/>
      <c r="T78" s="455"/>
      <c r="U78" s="455"/>
      <c r="V78" s="455"/>
      <c r="W78" s="455"/>
      <c r="X78" s="455"/>
      <c r="Y78" s="455"/>
      <c r="Z78" s="455"/>
      <c r="AA78" s="455"/>
      <c r="AB78" s="455"/>
      <c r="AC78" s="455"/>
      <c r="AD78" s="455"/>
      <c r="AE78" s="455"/>
      <c r="AF78" s="455"/>
      <c r="AG78" s="455"/>
      <c r="AH78" s="455"/>
      <c r="AI78" s="455"/>
      <c r="AJ78" s="456"/>
      <c r="AK78" s="112"/>
      <c r="AL78" s="113">
        <v>5</v>
      </c>
      <c r="AM78" s="135">
        <f>IF(AL78="CO", "CO", IF(COUNTIF(AO:AO, A78)=0, 0, (8-SUMIF(AO:AO, A78, AL:AL)) / COUNTIF(AO:AO, A78)))</f>
        <v>3</v>
      </c>
      <c r="AN78" s="580" t="s">
        <v>243</v>
      </c>
      <c r="AO78" s="139">
        <f t="shared" si="3"/>
        <v>46163</v>
      </c>
      <c r="AP78" s="114" t="str">
        <f>LEFT(D78,6)</f>
        <v xml:space="preserve">SA1.1 </v>
      </c>
      <c r="AQ78" s="115" t="s">
        <v>76</v>
      </c>
      <c r="AR78" s="116" t="s">
        <v>77</v>
      </c>
      <c r="AS78" s="163" t="s">
        <v>78</v>
      </c>
      <c r="AT78" s="159" t="s">
        <v>244</v>
      </c>
      <c r="AU78" s="167"/>
      <c r="AV78" s="83"/>
      <c r="AW78" s="116"/>
      <c r="AX78" s="116"/>
      <c r="AY78" s="116"/>
      <c r="AZ78" s="116"/>
      <c r="BA78" s="116"/>
      <c r="BB78" s="121"/>
    </row>
    <row r="79" spans="1:54" s="3" customFormat="1" ht="27" customHeight="1">
      <c r="A79" s="111">
        <v>46164</v>
      </c>
      <c r="B79" s="454" t="s">
        <v>68</v>
      </c>
      <c r="C79" s="454"/>
      <c r="D79" s="455" t="s">
        <v>69</v>
      </c>
      <c r="E79" s="455"/>
      <c r="F79" s="455"/>
      <c r="G79" s="455"/>
      <c r="H79" s="455"/>
      <c r="I79" s="455"/>
      <c r="J79" s="455"/>
      <c r="K79" s="455"/>
      <c r="L79" s="455"/>
      <c r="M79" s="455"/>
      <c r="N79" s="455"/>
      <c r="O79" s="455"/>
      <c r="P79" s="455"/>
      <c r="Q79" s="455"/>
      <c r="R79" s="455"/>
      <c r="S79" s="455"/>
      <c r="T79" s="455"/>
      <c r="U79" s="455"/>
      <c r="V79" s="455"/>
      <c r="W79" s="455"/>
      <c r="X79" s="455"/>
      <c r="Y79" s="455"/>
      <c r="Z79" s="455"/>
      <c r="AA79" s="455"/>
      <c r="AB79" s="455"/>
      <c r="AC79" s="455"/>
      <c r="AD79" s="455"/>
      <c r="AE79" s="455"/>
      <c r="AF79" s="455"/>
      <c r="AG79" s="455"/>
      <c r="AH79" s="455"/>
      <c r="AI79" s="455"/>
      <c r="AJ79" s="456"/>
      <c r="AK79" s="112"/>
      <c r="AL79" s="113"/>
      <c r="AM79" s="135">
        <f>IF(AL79="CO", "CO", IF(COUNTIF(AO:AO, A79)=0, 0, (8-SUMIF(AO:AO, A79, AL:AL)) / COUNTIF(AO:AO, A79)))</f>
        <v>8</v>
      </c>
      <c r="AN79" s="146"/>
      <c r="AO79" s="139">
        <f>A79</f>
        <v>46164</v>
      </c>
      <c r="AP79" s="114" t="str">
        <f>LEFT(D79,6)</f>
        <v xml:space="preserve">SA1.1 </v>
      </c>
      <c r="AQ79" s="115"/>
      <c r="AR79" s="116"/>
      <c r="AS79" s="163"/>
      <c r="AT79" s="157"/>
      <c r="AU79" s="167"/>
      <c r="AV79" s="83"/>
      <c r="AW79" s="116"/>
      <c r="AX79" s="116"/>
      <c r="AY79" s="116"/>
      <c r="AZ79" s="116"/>
      <c r="BA79" s="116"/>
      <c r="BB79" s="117"/>
    </row>
    <row r="80" spans="1:54" s="3" customFormat="1" ht="14.1" customHeight="1">
      <c r="A80" s="70">
        <v>46165</v>
      </c>
      <c r="B80" s="457"/>
      <c r="C80" s="457"/>
      <c r="D80" s="440"/>
      <c r="E80" s="440"/>
      <c r="F80" s="440"/>
      <c r="G80" s="440"/>
      <c r="H80" s="440"/>
      <c r="I80" s="440"/>
      <c r="J80" s="440"/>
      <c r="K80" s="440"/>
      <c r="L80" s="440"/>
      <c r="M80" s="440"/>
      <c r="N80" s="440"/>
      <c r="O80" s="440"/>
      <c r="P80" s="440"/>
      <c r="Q80" s="440"/>
      <c r="R80" s="440"/>
      <c r="S80" s="440"/>
      <c r="T80" s="440"/>
      <c r="U80" s="440"/>
      <c r="V80" s="440"/>
      <c r="W80" s="440"/>
      <c r="X80" s="440"/>
      <c r="Y80" s="440"/>
      <c r="Z80" s="440"/>
      <c r="AA80" s="440"/>
      <c r="AB80" s="440"/>
      <c r="AC80" s="440"/>
      <c r="AD80" s="440"/>
      <c r="AE80" s="440"/>
      <c r="AF80" s="440"/>
      <c r="AG80" s="440"/>
      <c r="AH80" s="440"/>
      <c r="AI80" s="440"/>
      <c r="AJ80" s="441"/>
      <c r="AK80" s="102"/>
      <c r="AL80" s="105"/>
      <c r="AM80" s="134"/>
      <c r="AN80" s="144"/>
      <c r="AO80" s="138">
        <f t="shared" si="3"/>
        <v>46165</v>
      </c>
      <c r="AP80" s="78" t="str">
        <f t="shared" si="4"/>
        <v/>
      </c>
      <c r="AQ80" s="79"/>
      <c r="AR80" s="80"/>
      <c r="AS80" s="162"/>
      <c r="AT80" s="410"/>
      <c r="AU80" s="166"/>
      <c r="AV80" s="81"/>
      <c r="AW80" s="80"/>
      <c r="AX80" s="80"/>
      <c r="AY80" s="80"/>
      <c r="AZ80" s="80"/>
      <c r="BA80" s="80"/>
      <c r="BB80" s="91"/>
    </row>
    <row r="81" spans="1:54" s="3" customFormat="1" ht="14.1" customHeight="1">
      <c r="A81" s="70">
        <v>46166</v>
      </c>
      <c r="B81" s="457"/>
      <c r="C81" s="457"/>
      <c r="D81" s="440"/>
      <c r="E81" s="440"/>
      <c r="F81" s="440"/>
      <c r="G81" s="440"/>
      <c r="H81" s="440"/>
      <c r="I81" s="440"/>
      <c r="J81" s="440"/>
      <c r="K81" s="440"/>
      <c r="L81" s="440"/>
      <c r="M81" s="440"/>
      <c r="N81" s="440"/>
      <c r="O81" s="440"/>
      <c r="P81" s="440"/>
      <c r="Q81" s="440"/>
      <c r="R81" s="440"/>
      <c r="S81" s="440"/>
      <c r="T81" s="440"/>
      <c r="U81" s="440"/>
      <c r="V81" s="440"/>
      <c r="W81" s="440"/>
      <c r="X81" s="440"/>
      <c r="Y81" s="440"/>
      <c r="Z81" s="440"/>
      <c r="AA81" s="440"/>
      <c r="AB81" s="440"/>
      <c r="AC81" s="440"/>
      <c r="AD81" s="440"/>
      <c r="AE81" s="440"/>
      <c r="AF81" s="440"/>
      <c r="AG81" s="440"/>
      <c r="AH81" s="440"/>
      <c r="AI81" s="440"/>
      <c r="AJ81" s="441"/>
      <c r="AK81" s="102"/>
      <c r="AL81" s="105"/>
      <c r="AM81" s="134"/>
      <c r="AN81" s="144"/>
      <c r="AO81" s="138">
        <f t="shared" si="3"/>
        <v>46166</v>
      </c>
      <c r="AP81" s="78" t="str">
        <f t="shared" si="4"/>
        <v/>
      </c>
      <c r="AQ81" s="79"/>
      <c r="AR81" s="80"/>
      <c r="AS81" s="162"/>
      <c r="AT81" s="156"/>
      <c r="AU81" s="166"/>
      <c r="AV81" s="81"/>
      <c r="AW81" s="80"/>
      <c r="AX81" s="80"/>
      <c r="AY81" s="80"/>
      <c r="AZ81" s="80"/>
      <c r="BA81" s="80"/>
      <c r="BB81" s="91"/>
    </row>
    <row r="82" spans="1:54" s="3" customFormat="1" ht="27" customHeight="1">
      <c r="A82" s="111">
        <v>46167</v>
      </c>
      <c r="B82" s="454" t="s">
        <v>68</v>
      </c>
      <c r="C82" s="454"/>
      <c r="D82" s="455" t="s">
        <v>69</v>
      </c>
      <c r="E82" s="455"/>
      <c r="F82" s="455"/>
      <c r="G82" s="455"/>
      <c r="H82" s="455"/>
      <c r="I82" s="455"/>
      <c r="J82" s="455"/>
      <c r="K82" s="455"/>
      <c r="L82" s="455"/>
      <c r="M82" s="455"/>
      <c r="N82" s="455"/>
      <c r="O82" s="455"/>
      <c r="P82" s="455"/>
      <c r="Q82" s="455"/>
      <c r="R82" s="455"/>
      <c r="S82" s="455"/>
      <c r="T82" s="455"/>
      <c r="U82" s="455"/>
      <c r="V82" s="455"/>
      <c r="W82" s="455"/>
      <c r="X82" s="455"/>
      <c r="Y82" s="455"/>
      <c r="Z82" s="455"/>
      <c r="AA82" s="455"/>
      <c r="AB82" s="455"/>
      <c r="AC82" s="455"/>
      <c r="AD82" s="455"/>
      <c r="AE82" s="455"/>
      <c r="AF82" s="455"/>
      <c r="AG82" s="455"/>
      <c r="AH82" s="455"/>
      <c r="AI82" s="455"/>
      <c r="AJ82" s="456"/>
      <c r="AK82" s="112"/>
      <c r="AL82" s="113">
        <v>6</v>
      </c>
      <c r="AM82" s="135">
        <f>IF(AL82="CO", "CO", IF(COUNTIF(AO:AO, A82)=0, 0, (8-SUMIF(AO:AO, A82, AL:AL)) / COUNTIF(AO:AO, A82)))</f>
        <v>2</v>
      </c>
      <c r="AN82" s="399" t="s">
        <v>149</v>
      </c>
      <c r="AO82" s="139">
        <f t="shared" si="3"/>
        <v>46167</v>
      </c>
      <c r="AP82" s="114" t="str">
        <f t="shared" si="4"/>
        <v xml:space="preserve">SA1.1 </v>
      </c>
      <c r="AQ82" s="115"/>
      <c r="AR82" s="116"/>
      <c r="AS82" s="163"/>
      <c r="AT82" s="157"/>
      <c r="AU82" s="167"/>
      <c r="AV82" s="83"/>
      <c r="AW82" s="116"/>
      <c r="AX82" s="116"/>
      <c r="AY82" s="116"/>
      <c r="AZ82" s="116"/>
      <c r="BA82" s="116"/>
      <c r="BB82" s="117"/>
    </row>
    <row r="83" spans="1:54" s="3" customFormat="1" ht="27" customHeight="1">
      <c r="A83" s="111">
        <v>46168</v>
      </c>
      <c r="B83" s="454" t="s">
        <v>68</v>
      </c>
      <c r="C83" s="454"/>
      <c r="D83" s="455" t="s">
        <v>69</v>
      </c>
      <c r="E83" s="455"/>
      <c r="F83" s="455"/>
      <c r="G83" s="455"/>
      <c r="H83" s="455"/>
      <c r="I83" s="455"/>
      <c r="J83" s="455"/>
      <c r="K83" s="455"/>
      <c r="L83" s="455"/>
      <c r="M83" s="455"/>
      <c r="N83" s="455"/>
      <c r="O83" s="455"/>
      <c r="P83" s="455"/>
      <c r="Q83" s="455"/>
      <c r="R83" s="455"/>
      <c r="S83" s="455"/>
      <c r="T83" s="455"/>
      <c r="U83" s="455"/>
      <c r="V83" s="455"/>
      <c r="W83" s="455"/>
      <c r="X83" s="455"/>
      <c r="Y83" s="455"/>
      <c r="Z83" s="455"/>
      <c r="AA83" s="455"/>
      <c r="AB83" s="455"/>
      <c r="AC83" s="455"/>
      <c r="AD83" s="455"/>
      <c r="AE83" s="455"/>
      <c r="AF83" s="455"/>
      <c r="AG83" s="455"/>
      <c r="AH83" s="455"/>
      <c r="AI83" s="455"/>
      <c r="AJ83" s="456"/>
      <c r="AK83" s="112"/>
      <c r="AL83" s="113">
        <v>6</v>
      </c>
      <c r="AM83" s="135">
        <f>IF(AL83="CO", "CO", IF(COUNTIF(AO:AO, A83)=0, 0, (8-SUMIF(AO:AO, A83, AL:AL)) / COUNTIF(AO:AO, A83)))</f>
        <v>2</v>
      </c>
      <c r="AN83" s="581" t="s">
        <v>159</v>
      </c>
      <c r="AO83" s="139">
        <f t="shared" si="3"/>
        <v>46168</v>
      </c>
      <c r="AP83" s="114" t="str">
        <f t="shared" si="4"/>
        <v xml:space="preserve">SA1.1 </v>
      </c>
      <c r="AQ83" s="115"/>
      <c r="AR83" s="116"/>
      <c r="AS83" s="163"/>
      <c r="AT83" s="157"/>
      <c r="AU83" s="167"/>
      <c r="AV83" s="118"/>
      <c r="AW83" s="116"/>
      <c r="AX83" s="116"/>
      <c r="AY83" s="116"/>
      <c r="AZ83" s="116"/>
      <c r="BA83" s="116"/>
      <c r="BB83" s="117"/>
    </row>
    <row r="84" spans="1:54" s="3" customFormat="1" ht="27" customHeight="1">
      <c r="A84" s="111">
        <v>46169</v>
      </c>
      <c r="B84" s="454" t="s">
        <v>68</v>
      </c>
      <c r="C84" s="454"/>
      <c r="D84" s="455" t="s">
        <v>69</v>
      </c>
      <c r="E84" s="455"/>
      <c r="F84" s="455"/>
      <c r="G84" s="455"/>
      <c r="H84" s="455"/>
      <c r="I84" s="455"/>
      <c r="J84" s="455"/>
      <c r="K84" s="455"/>
      <c r="L84" s="455"/>
      <c r="M84" s="455"/>
      <c r="N84" s="455"/>
      <c r="O84" s="455"/>
      <c r="P84" s="455"/>
      <c r="Q84" s="455"/>
      <c r="R84" s="455"/>
      <c r="S84" s="455"/>
      <c r="T84" s="455"/>
      <c r="U84" s="455"/>
      <c r="V84" s="455"/>
      <c r="W84" s="455"/>
      <c r="X84" s="455"/>
      <c r="Y84" s="455"/>
      <c r="Z84" s="455"/>
      <c r="AA84" s="455"/>
      <c r="AB84" s="455"/>
      <c r="AC84" s="455"/>
      <c r="AD84" s="455"/>
      <c r="AE84" s="455"/>
      <c r="AF84" s="455"/>
      <c r="AG84" s="455"/>
      <c r="AH84" s="455"/>
      <c r="AI84" s="455"/>
      <c r="AJ84" s="456"/>
      <c r="AK84" s="112"/>
      <c r="AL84" s="113">
        <v>2</v>
      </c>
      <c r="AM84" s="135">
        <f>IF(AL84="CO", "CO", IF(COUNTIF(AO:AO, A84)=0, 0, (8-SUMIF(AO:AO, A84, AL:AL)) / COUNTIF(AO:AO, A84)))</f>
        <v>6</v>
      </c>
      <c r="AN84" s="400" t="s">
        <v>245</v>
      </c>
      <c r="AO84" s="139">
        <f t="shared" si="3"/>
        <v>46169</v>
      </c>
      <c r="AP84" s="114" t="str">
        <f t="shared" si="4"/>
        <v xml:space="preserve">SA1.1 </v>
      </c>
      <c r="AQ84" s="115"/>
      <c r="AR84" s="116"/>
      <c r="AS84" s="163"/>
      <c r="AT84" s="157"/>
      <c r="AU84" s="167"/>
      <c r="AV84" s="83"/>
      <c r="AW84" s="116"/>
      <c r="AX84" s="116"/>
      <c r="AY84" s="116"/>
      <c r="AZ84" s="116"/>
      <c r="BA84" s="116"/>
      <c r="BB84" s="117"/>
    </row>
    <row r="85" spans="1:54" s="3" customFormat="1" ht="27" customHeight="1">
      <c r="A85" s="111">
        <v>46170</v>
      </c>
      <c r="B85" s="454" t="s">
        <v>68</v>
      </c>
      <c r="C85" s="454"/>
      <c r="D85" s="455" t="s">
        <v>69</v>
      </c>
      <c r="E85" s="455"/>
      <c r="F85" s="455"/>
      <c r="G85" s="455"/>
      <c r="H85" s="455"/>
      <c r="I85" s="455"/>
      <c r="J85" s="455"/>
      <c r="K85" s="455"/>
      <c r="L85" s="455"/>
      <c r="M85" s="455"/>
      <c r="N85" s="455"/>
      <c r="O85" s="455"/>
      <c r="P85" s="455"/>
      <c r="Q85" s="455"/>
      <c r="R85" s="455"/>
      <c r="S85" s="455"/>
      <c r="T85" s="455"/>
      <c r="U85" s="455"/>
      <c r="V85" s="455"/>
      <c r="W85" s="455"/>
      <c r="X85" s="455"/>
      <c r="Y85" s="455"/>
      <c r="Z85" s="455"/>
      <c r="AA85" s="455"/>
      <c r="AB85" s="455"/>
      <c r="AC85" s="455"/>
      <c r="AD85" s="455"/>
      <c r="AE85" s="455"/>
      <c r="AF85" s="455"/>
      <c r="AG85" s="455"/>
      <c r="AH85" s="455"/>
      <c r="AI85" s="455"/>
      <c r="AJ85" s="456"/>
      <c r="AK85" s="112"/>
      <c r="AL85" s="113"/>
      <c r="AM85" s="135">
        <f>IF(AL85="CO", "CO", IF(COUNTIF(AO:AO, A85)=0, 0, (8-SUMIF(AO:AO, A85, AL:AL)) / COUNTIF(AO:AO, A85)))</f>
        <v>8</v>
      </c>
      <c r="AN85" s="400"/>
      <c r="AO85" s="237">
        <f>A85</f>
        <v>46170</v>
      </c>
      <c r="AP85" s="238" t="str">
        <f>LEFT(D85,6)</f>
        <v xml:space="preserve">SA1.1 </v>
      </c>
      <c r="AQ85" s="239"/>
      <c r="AR85" s="240"/>
      <c r="AS85" s="371"/>
      <c r="AT85" s="380"/>
      <c r="AU85" s="358"/>
      <c r="AV85" s="83"/>
      <c r="AW85" s="240"/>
      <c r="AX85" s="116"/>
      <c r="AY85" s="116"/>
      <c r="AZ85" s="116"/>
      <c r="BA85" s="116"/>
      <c r="BB85" s="117"/>
    </row>
    <row r="86" spans="1:54" s="3" customFormat="1" ht="27" customHeight="1">
      <c r="A86" s="111">
        <v>46171</v>
      </c>
      <c r="B86" s="454" t="s">
        <v>68</v>
      </c>
      <c r="C86" s="454"/>
      <c r="D86" s="455" t="s">
        <v>69</v>
      </c>
      <c r="E86" s="455"/>
      <c r="F86" s="455"/>
      <c r="G86" s="455"/>
      <c r="H86" s="455"/>
      <c r="I86" s="455"/>
      <c r="J86" s="455"/>
      <c r="K86" s="455"/>
      <c r="L86" s="455"/>
      <c r="M86" s="455"/>
      <c r="N86" s="455"/>
      <c r="O86" s="455"/>
      <c r="P86" s="455"/>
      <c r="Q86" s="455"/>
      <c r="R86" s="455"/>
      <c r="S86" s="455"/>
      <c r="T86" s="455"/>
      <c r="U86" s="455"/>
      <c r="V86" s="455"/>
      <c r="W86" s="455"/>
      <c r="X86" s="455"/>
      <c r="Y86" s="455"/>
      <c r="Z86" s="455"/>
      <c r="AA86" s="455"/>
      <c r="AB86" s="455"/>
      <c r="AC86" s="455"/>
      <c r="AD86" s="455"/>
      <c r="AE86" s="455"/>
      <c r="AF86" s="455"/>
      <c r="AG86" s="455"/>
      <c r="AH86" s="455"/>
      <c r="AI86" s="455"/>
      <c r="AJ86" s="456"/>
      <c r="AK86" s="112"/>
      <c r="AL86" s="113">
        <v>2</v>
      </c>
      <c r="AM86" s="135">
        <f>IF(AL86="CO", "CO", IF(COUNTIF(AO:AO, A86)=0, 0, (8-SUMIF(AO:AO, A86, AL:AL)) / COUNTIF(AO:AO, A86)))</f>
        <v>6</v>
      </c>
      <c r="AN86" s="372" t="s">
        <v>117</v>
      </c>
      <c r="AO86" s="237">
        <f>A86</f>
        <v>46171</v>
      </c>
      <c r="AP86" s="238" t="str">
        <f>LEFT(D86,6)</f>
        <v xml:space="preserve">SA1.1 </v>
      </c>
      <c r="AQ86" s="239"/>
      <c r="AR86" s="240"/>
      <c r="AS86" s="371"/>
      <c r="AT86" s="412"/>
      <c r="AU86" s="358"/>
      <c r="AV86" s="83"/>
      <c r="AW86" s="240"/>
      <c r="AX86" s="116"/>
      <c r="AY86" s="116"/>
      <c r="AZ86" s="116"/>
      <c r="BA86" s="116"/>
      <c r="BB86" s="117"/>
    </row>
    <row r="87" spans="1:54" s="3" customFormat="1" ht="14.1" customHeight="1">
      <c r="A87" s="70">
        <v>46172</v>
      </c>
      <c r="B87" s="439"/>
      <c r="C87" s="439"/>
      <c r="D87" s="440"/>
      <c r="E87" s="440"/>
      <c r="F87" s="440"/>
      <c r="G87" s="440"/>
      <c r="H87" s="440"/>
      <c r="I87" s="440"/>
      <c r="J87" s="440"/>
      <c r="K87" s="440"/>
      <c r="L87" s="440"/>
      <c r="M87" s="440"/>
      <c r="N87" s="440"/>
      <c r="O87" s="440"/>
      <c r="P87" s="440"/>
      <c r="Q87" s="440"/>
      <c r="R87" s="440"/>
      <c r="S87" s="440"/>
      <c r="T87" s="440"/>
      <c r="U87" s="440"/>
      <c r="V87" s="440"/>
      <c r="W87" s="440"/>
      <c r="X87" s="440"/>
      <c r="Y87" s="440"/>
      <c r="Z87" s="440"/>
      <c r="AA87" s="440"/>
      <c r="AB87" s="440"/>
      <c r="AC87" s="440"/>
      <c r="AD87" s="440"/>
      <c r="AE87" s="440"/>
      <c r="AF87" s="440"/>
      <c r="AG87" s="440"/>
      <c r="AH87" s="440"/>
      <c r="AI87" s="440"/>
      <c r="AJ87" s="441"/>
      <c r="AK87" s="102"/>
      <c r="AL87" s="105"/>
      <c r="AM87" s="134"/>
      <c r="AN87" s="184"/>
      <c r="AO87" s="241">
        <f>A87</f>
        <v>46172</v>
      </c>
      <c r="AP87" s="242" t="str">
        <f>LEFT(D87,6)</f>
        <v/>
      </c>
      <c r="AQ87" s="243"/>
      <c r="AR87" s="244"/>
      <c r="AS87" s="403"/>
      <c r="AT87" s="402"/>
      <c r="AU87" s="404"/>
      <c r="AV87" s="81"/>
      <c r="AW87" s="244"/>
      <c r="AX87" s="80"/>
      <c r="AY87" s="80"/>
      <c r="AZ87" s="80"/>
      <c r="BA87" s="80"/>
      <c r="BB87" s="91"/>
    </row>
    <row r="88" spans="1:54" s="3" customFormat="1" ht="14.1" customHeight="1" thickBot="1">
      <c r="A88" s="73">
        <v>46173</v>
      </c>
      <c r="B88" s="442"/>
      <c r="C88" s="443"/>
      <c r="D88" s="444"/>
      <c r="E88" s="444"/>
      <c r="F88" s="444"/>
      <c r="G88" s="444"/>
      <c r="H88" s="444"/>
      <c r="I88" s="444"/>
      <c r="J88" s="444"/>
      <c r="K88" s="444"/>
      <c r="L88" s="444"/>
      <c r="M88" s="444"/>
      <c r="N88" s="444"/>
      <c r="O88" s="444"/>
      <c r="P88" s="444"/>
      <c r="Q88" s="444"/>
      <c r="R88" s="444"/>
      <c r="S88" s="444"/>
      <c r="T88" s="444"/>
      <c r="U88" s="444"/>
      <c r="V88" s="444"/>
      <c r="W88" s="444"/>
      <c r="X88" s="444"/>
      <c r="Y88" s="444"/>
      <c r="Z88" s="444"/>
      <c r="AA88" s="444"/>
      <c r="AB88" s="444"/>
      <c r="AC88" s="444"/>
      <c r="AD88" s="444"/>
      <c r="AE88" s="444"/>
      <c r="AF88" s="444"/>
      <c r="AG88" s="444"/>
      <c r="AH88" s="444"/>
      <c r="AI88" s="444"/>
      <c r="AJ88" s="445"/>
      <c r="AK88" s="391"/>
      <c r="AL88" s="125"/>
      <c r="AM88" s="392"/>
      <c r="AN88" s="393"/>
      <c r="AO88" s="140">
        <f t="shared" si="3"/>
        <v>46173</v>
      </c>
      <c r="AP88" s="126" t="str">
        <f t="shared" si="4"/>
        <v/>
      </c>
      <c r="AQ88" s="127"/>
      <c r="AR88" s="128"/>
      <c r="AS88" s="128"/>
      <c r="AT88" s="406"/>
      <c r="AU88" s="128"/>
      <c r="AV88" s="394"/>
      <c r="AW88" s="128"/>
      <c r="AX88" s="128"/>
      <c r="AY88" s="128"/>
      <c r="AZ88" s="128"/>
      <c r="BA88" s="128"/>
      <c r="BB88" s="130"/>
    </row>
    <row r="89" spans="1:54" s="3" customFormat="1" ht="15" customHeight="1" thickBot="1">
      <c r="A89" s="446" t="s">
        <v>118</v>
      </c>
      <c r="B89" s="447"/>
      <c r="C89" s="447"/>
      <c r="D89" s="447"/>
      <c r="E89" s="447"/>
      <c r="F89" s="447"/>
      <c r="G89" s="447"/>
      <c r="H89" s="447"/>
      <c r="I89" s="447"/>
      <c r="J89" s="447"/>
      <c r="K89" s="447"/>
      <c r="L89" s="447"/>
      <c r="M89" s="447"/>
      <c r="N89" s="447"/>
      <c r="O89" s="447"/>
      <c r="P89" s="447"/>
      <c r="Q89" s="447"/>
      <c r="R89" s="447"/>
      <c r="S89" s="447"/>
      <c r="T89" s="447"/>
      <c r="U89" s="447"/>
      <c r="V89" s="447"/>
      <c r="W89" s="447"/>
      <c r="X89" s="447"/>
      <c r="Y89" s="447"/>
      <c r="Z89" s="447"/>
      <c r="AA89" s="447"/>
      <c r="AB89" s="447"/>
      <c r="AC89" s="447"/>
      <c r="AD89" s="447"/>
      <c r="AE89" s="447"/>
      <c r="AF89" s="447"/>
      <c r="AG89" s="447"/>
      <c r="AH89" s="447"/>
      <c r="AI89" s="447"/>
      <c r="AJ89" s="447"/>
      <c r="AK89" s="447"/>
      <c r="AL89" s="74">
        <f>SUM(AL58:AL88)+COUNTIF(AL58:AL88,"CO")*4</f>
        <v>71</v>
      </c>
      <c r="AM89" s="74">
        <f>SUM(AM58:AM88) + COUNTIF(AM58:AM88, "CO")*4</f>
        <v>89</v>
      </c>
      <c r="AO89" s="17"/>
      <c r="AP89" s="17"/>
      <c r="AT89" s="48"/>
      <c r="AV89" s="48"/>
    </row>
    <row r="90" spans="1:54" s="3" customFormat="1" ht="14.1" customHeight="1">
      <c r="A90" s="448" t="s">
        <v>119</v>
      </c>
      <c r="B90" s="449"/>
      <c r="C90" s="449"/>
      <c r="D90" s="449"/>
      <c r="E90" s="449"/>
      <c r="F90" s="449"/>
      <c r="G90" s="449"/>
      <c r="H90" s="449"/>
      <c r="I90" s="449"/>
      <c r="J90" s="449"/>
      <c r="K90" s="449"/>
      <c r="L90" s="449"/>
      <c r="M90" s="449"/>
      <c r="N90" s="449"/>
      <c r="O90" s="449"/>
      <c r="P90" s="449"/>
      <c r="Q90" s="449"/>
      <c r="R90" s="449"/>
      <c r="S90" s="449"/>
      <c r="T90" s="449"/>
      <c r="U90" s="449"/>
      <c r="V90" s="449"/>
      <c r="W90" s="449"/>
      <c r="X90" s="449"/>
      <c r="Y90" s="449"/>
      <c r="Z90" s="449"/>
      <c r="AA90" s="449"/>
      <c r="AB90" s="449"/>
      <c r="AC90" s="449"/>
      <c r="AD90" s="449"/>
      <c r="AE90" s="449"/>
      <c r="AF90" s="449"/>
      <c r="AG90" s="449"/>
      <c r="AH90" s="449"/>
      <c r="AI90" s="449"/>
      <c r="AJ90" s="449"/>
      <c r="AK90" s="449"/>
      <c r="AL90" s="449"/>
      <c r="AM90" s="450"/>
      <c r="AO90" s="17"/>
      <c r="AP90" s="17"/>
      <c r="AT90" s="48"/>
      <c r="AV90" s="48"/>
    </row>
    <row r="91" spans="1:54" s="3" customFormat="1" ht="14.85" customHeight="1" thickBot="1">
      <c r="A91" s="451"/>
      <c r="B91" s="452"/>
      <c r="C91" s="452"/>
      <c r="D91" s="452"/>
      <c r="E91" s="452"/>
      <c r="F91" s="452"/>
      <c r="G91" s="452"/>
      <c r="H91" s="452"/>
      <c r="I91" s="452"/>
      <c r="J91" s="452"/>
      <c r="K91" s="452"/>
      <c r="L91" s="452"/>
      <c r="M91" s="452"/>
      <c r="N91" s="452"/>
      <c r="O91" s="452"/>
      <c r="P91" s="452"/>
      <c r="Q91" s="452"/>
      <c r="R91" s="452"/>
      <c r="S91" s="452"/>
      <c r="T91" s="452"/>
      <c r="U91" s="452"/>
      <c r="V91" s="452"/>
      <c r="W91" s="452"/>
      <c r="X91" s="452"/>
      <c r="Y91" s="452"/>
      <c r="Z91" s="452"/>
      <c r="AA91" s="452"/>
      <c r="AB91" s="452"/>
      <c r="AC91" s="452"/>
      <c r="AD91" s="452"/>
      <c r="AE91" s="452"/>
      <c r="AF91" s="452"/>
      <c r="AG91" s="452"/>
      <c r="AH91" s="452"/>
      <c r="AI91" s="452"/>
      <c r="AJ91" s="452"/>
      <c r="AK91" s="452"/>
      <c r="AL91" s="452"/>
      <c r="AM91" s="453"/>
      <c r="AO91" s="17"/>
      <c r="AP91" s="17"/>
      <c r="AQ91" s="3" t="s">
        <v>36</v>
      </c>
      <c r="AT91" s="48"/>
      <c r="AV91" s="48"/>
    </row>
    <row r="92" spans="1:54" s="3" customFormat="1" ht="29.1" customHeight="1">
      <c r="A92" s="431" t="s">
        <v>120</v>
      </c>
      <c r="B92" s="432"/>
      <c r="C92" s="432"/>
      <c r="D92" s="433" t="s">
        <v>38</v>
      </c>
      <c r="E92" s="434"/>
      <c r="F92" s="434"/>
      <c r="G92" s="434"/>
      <c r="H92" s="434"/>
      <c r="I92" s="434"/>
      <c r="J92" s="434"/>
      <c r="K92" s="434"/>
      <c r="L92" s="434"/>
      <c r="M92" s="434"/>
      <c r="N92" s="434"/>
      <c r="O92" s="434"/>
      <c r="P92" s="434"/>
      <c r="Q92" s="434"/>
      <c r="R92" s="434"/>
      <c r="S92" s="434"/>
      <c r="T92" s="434"/>
      <c r="U92" s="434"/>
      <c r="V92" s="434"/>
      <c r="W92" s="434"/>
      <c r="X92" s="434"/>
      <c r="Y92" s="434"/>
      <c r="Z92" s="434"/>
      <c r="AA92" s="434"/>
      <c r="AB92" s="434"/>
      <c r="AC92" s="434"/>
      <c r="AD92" s="434"/>
      <c r="AE92" s="434"/>
      <c r="AF92" s="434"/>
      <c r="AG92" s="434"/>
      <c r="AH92" s="434"/>
      <c r="AI92" s="434"/>
      <c r="AJ92" s="434"/>
      <c r="AK92" s="434"/>
      <c r="AL92" s="434"/>
      <c r="AM92" s="435"/>
      <c r="AN92" s="3" t="s">
        <v>99</v>
      </c>
      <c r="AO92" s="17" t="s">
        <v>36</v>
      </c>
      <c r="AP92" s="17"/>
      <c r="AT92" s="48"/>
      <c r="AV92" s="48"/>
    </row>
    <row r="93" spans="1:54" s="3" customFormat="1" ht="29.1" customHeight="1">
      <c r="A93" s="420" t="s">
        <v>121</v>
      </c>
      <c r="B93" s="421"/>
      <c r="C93" s="421"/>
      <c r="D93" s="428"/>
      <c r="E93" s="429"/>
      <c r="F93" s="429"/>
      <c r="G93" s="429"/>
      <c r="H93" s="429"/>
      <c r="I93" s="429"/>
      <c r="J93" s="429"/>
      <c r="K93" s="429"/>
      <c r="L93" s="429"/>
      <c r="M93" s="429"/>
      <c r="N93" s="429"/>
      <c r="O93" s="429"/>
      <c r="P93" s="429"/>
      <c r="Q93" s="429"/>
      <c r="R93" s="429"/>
      <c r="S93" s="429"/>
      <c r="T93" s="429"/>
      <c r="U93" s="429"/>
      <c r="V93" s="429"/>
      <c r="W93" s="429"/>
      <c r="X93" s="429"/>
      <c r="Y93" s="429"/>
      <c r="Z93" s="429"/>
      <c r="AA93" s="429"/>
      <c r="AB93" s="429"/>
      <c r="AC93" s="429"/>
      <c r="AD93" s="429"/>
      <c r="AE93" s="429"/>
      <c r="AF93" s="429"/>
      <c r="AG93" s="429"/>
      <c r="AH93" s="429"/>
      <c r="AI93" s="429"/>
      <c r="AJ93" s="429"/>
      <c r="AK93" s="429"/>
      <c r="AL93" s="429"/>
      <c r="AM93" s="430"/>
      <c r="AO93" s="17"/>
      <c r="AP93" s="17"/>
      <c r="AT93" s="48"/>
      <c r="AV93" s="48"/>
    </row>
    <row r="94" spans="1:54" s="3" customFormat="1" ht="29.1" customHeight="1">
      <c r="A94" s="420" t="s">
        <v>122</v>
      </c>
      <c r="B94" s="421"/>
      <c r="C94" s="421"/>
      <c r="D94" s="436">
        <v>46171</v>
      </c>
      <c r="E94" s="437">
        <v>46171</v>
      </c>
      <c r="F94" s="437">
        <v>46171</v>
      </c>
      <c r="G94" s="437">
        <v>46171</v>
      </c>
      <c r="H94" s="437">
        <v>46171</v>
      </c>
      <c r="I94" s="437">
        <v>46171</v>
      </c>
      <c r="J94" s="437">
        <v>46171</v>
      </c>
      <c r="K94" s="437">
        <v>46171</v>
      </c>
      <c r="L94" s="437">
        <v>46171</v>
      </c>
      <c r="M94" s="437">
        <v>46171</v>
      </c>
      <c r="N94" s="437">
        <v>46171</v>
      </c>
      <c r="O94" s="437">
        <v>46171</v>
      </c>
      <c r="P94" s="437">
        <v>46171</v>
      </c>
      <c r="Q94" s="437">
        <v>46171</v>
      </c>
      <c r="R94" s="437">
        <v>46171</v>
      </c>
      <c r="S94" s="437">
        <v>46171</v>
      </c>
      <c r="T94" s="437">
        <v>46171</v>
      </c>
      <c r="U94" s="437">
        <v>46171</v>
      </c>
      <c r="V94" s="437">
        <v>46171</v>
      </c>
      <c r="W94" s="437">
        <v>46171</v>
      </c>
      <c r="X94" s="437">
        <v>46171</v>
      </c>
      <c r="Y94" s="437">
        <v>46171</v>
      </c>
      <c r="Z94" s="437">
        <v>46171</v>
      </c>
      <c r="AA94" s="437">
        <v>46171</v>
      </c>
      <c r="AB94" s="437">
        <v>46171</v>
      </c>
      <c r="AC94" s="437">
        <v>46171</v>
      </c>
      <c r="AD94" s="437">
        <v>46171</v>
      </c>
      <c r="AE94" s="437">
        <v>46171</v>
      </c>
      <c r="AF94" s="437">
        <v>46171</v>
      </c>
      <c r="AG94" s="437">
        <v>46171</v>
      </c>
      <c r="AH94" s="437">
        <v>46171</v>
      </c>
      <c r="AI94" s="437">
        <v>46171</v>
      </c>
      <c r="AJ94" s="437">
        <v>46171</v>
      </c>
      <c r="AK94" s="437">
        <v>46171</v>
      </c>
      <c r="AL94" s="437">
        <v>46171</v>
      </c>
      <c r="AM94" s="438">
        <v>46171</v>
      </c>
      <c r="AO94" s="17" t="s">
        <v>36</v>
      </c>
      <c r="AP94" s="17"/>
      <c r="AT94" s="48"/>
      <c r="AV94" s="48"/>
    </row>
    <row r="95" spans="1:54" s="3" customFormat="1" ht="12.95">
      <c r="A95" s="420"/>
      <c r="B95" s="421"/>
      <c r="C95" s="421"/>
      <c r="D95" s="422"/>
      <c r="E95" s="423"/>
      <c r="F95" s="423"/>
      <c r="G95" s="423"/>
      <c r="H95" s="423"/>
      <c r="I95" s="423"/>
      <c r="J95" s="423"/>
      <c r="K95" s="423"/>
      <c r="L95" s="423"/>
      <c r="M95" s="423"/>
      <c r="N95" s="423"/>
      <c r="O95" s="423"/>
      <c r="P95" s="423"/>
      <c r="Q95" s="423"/>
      <c r="R95" s="423"/>
      <c r="S95" s="423"/>
      <c r="T95" s="423"/>
      <c r="U95" s="423"/>
      <c r="V95" s="423"/>
      <c r="W95" s="423"/>
      <c r="X95" s="423"/>
      <c r="Y95" s="423"/>
      <c r="Z95" s="423"/>
      <c r="AA95" s="423"/>
      <c r="AB95" s="423"/>
      <c r="AC95" s="423"/>
      <c r="AD95" s="423"/>
      <c r="AE95" s="423"/>
      <c r="AF95" s="423"/>
      <c r="AG95" s="423"/>
      <c r="AH95" s="423"/>
      <c r="AI95" s="423"/>
      <c r="AJ95" s="423"/>
      <c r="AK95" s="423"/>
      <c r="AL95" s="423"/>
      <c r="AM95" s="424"/>
      <c r="AO95" s="17"/>
      <c r="AP95" s="17"/>
      <c r="AT95" s="48"/>
      <c r="AV95" s="48"/>
    </row>
    <row r="96" spans="1:54" s="3" customFormat="1" ht="29.1" customHeight="1">
      <c r="A96" s="420" t="s">
        <v>123</v>
      </c>
      <c r="B96" s="421"/>
      <c r="C96" s="421"/>
      <c r="D96" s="425" t="s">
        <v>124</v>
      </c>
      <c r="E96" s="426"/>
      <c r="F96" s="426"/>
      <c r="G96" s="426"/>
      <c r="H96" s="426"/>
      <c r="I96" s="426"/>
      <c r="J96" s="426"/>
      <c r="K96" s="426"/>
      <c r="L96" s="426"/>
      <c r="M96" s="426"/>
      <c r="N96" s="426"/>
      <c r="O96" s="426"/>
      <c r="P96" s="426"/>
      <c r="Q96" s="426"/>
      <c r="R96" s="426"/>
      <c r="S96" s="426"/>
      <c r="T96" s="426"/>
      <c r="U96" s="426"/>
      <c r="V96" s="426"/>
      <c r="W96" s="426"/>
      <c r="X96" s="426"/>
      <c r="Y96" s="426"/>
      <c r="Z96" s="426"/>
      <c r="AA96" s="426"/>
      <c r="AB96" s="426"/>
      <c r="AC96" s="426"/>
      <c r="AD96" s="426"/>
      <c r="AE96" s="426"/>
      <c r="AF96" s="426"/>
      <c r="AG96" s="426"/>
      <c r="AH96" s="426"/>
      <c r="AI96" s="426"/>
      <c r="AJ96" s="426"/>
      <c r="AK96" s="426"/>
      <c r="AL96" s="426"/>
      <c r="AM96" s="427"/>
      <c r="AO96" s="17"/>
      <c r="AP96" s="17"/>
      <c r="AT96" s="48"/>
      <c r="AV96" s="48"/>
    </row>
    <row r="97" spans="1:48" s="3" customFormat="1" ht="29.1" customHeight="1">
      <c r="A97" s="420" t="s">
        <v>121</v>
      </c>
      <c r="B97" s="421"/>
      <c r="C97" s="421"/>
      <c r="D97" s="428"/>
      <c r="E97" s="429"/>
      <c r="F97" s="429"/>
      <c r="G97" s="429"/>
      <c r="H97" s="429"/>
      <c r="I97" s="429"/>
      <c r="J97" s="429"/>
      <c r="K97" s="429"/>
      <c r="L97" s="429"/>
      <c r="M97" s="429"/>
      <c r="N97" s="429"/>
      <c r="O97" s="429"/>
      <c r="P97" s="429"/>
      <c r="Q97" s="429"/>
      <c r="R97" s="429"/>
      <c r="S97" s="429"/>
      <c r="T97" s="429"/>
      <c r="U97" s="429"/>
      <c r="V97" s="429"/>
      <c r="W97" s="429"/>
      <c r="X97" s="429"/>
      <c r="Y97" s="429"/>
      <c r="Z97" s="429"/>
      <c r="AA97" s="429"/>
      <c r="AB97" s="429"/>
      <c r="AC97" s="429"/>
      <c r="AD97" s="429"/>
      <c r="AE97" s="429"/>
      <c r="AF97" s="429"/>
      <c r="AG97" s="429"/>
      <c r="AH97" s="429"/>
      <c r="AI97" s="429"/>
      <c r="AJ97" s="429"/>
      <c r="AK97" s="429"/>
      <c r="AL97" s="429"/>
      <c r="AM97" s="430"/>
      <c r="AO97" s="17"/>
      <c r="AP97" s="17"/>
      <c r="AR97" s="3" t="s">
        <v>99</v>
      </c>
      <c r="AT97" s="48"/>
      <c r="AV97" s="48"/>
    </row>
    <row r="98" spans="1:48" s="3" customFormat="1" ht="29.1" customHeight="1" thickBot="1">
      <c r="A98" s="414" t="s">
        <v>122</v>
      </c>
      <c r="B98" s="415"/>
      <c r="C98" s="415"/>
      <c r="D98" s="416">
        <v>46171</v>
      </c>
      <c r="E98" s="417">
        <v>46171</v>
      </c>
      <c r="F98" s="417">
        <v>46171</v>
      </c>
      <c r="G98" s="417">
        <v>46171</v>
      </c>
      <c r="H98" s="417">
        <v>46171</v>
      </c>
      <c r="I98" s="417">
        <v>46171</v>
      </c>
      <c r="J98" s="417">
        <v>46171</v>
      </c>
      <c r="K98" s="417">
        <v>46171</v>
      </c>
      <c r="L98" s="417">
        <v>46171</v>
      </c>
      <c r="M98" s="417">
        <v>46171</v>
      </c>
      <c r="N98" s="417">
        <v>46171</v>
      </c>
      <c r="O98" s="417">
        <v>46171</v>
      </c>
      <c r="P98" s="417">
        <v>46171</v>
      </c>
      <c r="Q98" s="417">
        <v>46171</v>
      </c>
      <c r="R98" s="417">
        <v>46171</v>
      </c>
      <c r="S98" s="417">
        <v>46171</v>
      </c>
      <c r="T98" s="417">
        <v>46171</v>
      </c>
      <c r="U98" s="417">
        <v>46171</v>
      </c>
      <c r="V98" s="417">
        <v>46171</v>
      </c>
      <c r="W98" s="417">
        <v>46171</v>
      </c>
      <c r="X98" s="417">
        <v>46171</v>
      </c>
      <c r="Y98" s="417">
        <v>46171</v>
      </c>
      <c r="Z98" s="417">
        <v>46171</v>
      </c>
      <c r="AA98" s="417">
        <v>46171</v>
      </c>
      <c r="AB98" s="417">
        <v>46171</v>
      </c>
      <c r="AC98" s="417">
        <v>46171</v>
      </c>
      <c r="AD98" s="417">
        <v>46171</v>
      </c>
      <c r="AE98" s="417">
        <v>46171</v>
      </c>
      <c r="AF98" s="417">
        <v>46171</v>
      </c>
      <c r="AG98" s="417">
        <v>46171</v>
      </c>
      <c r="AH98" s="417">
        <v>46171</v>
      </c>
      <c r="AI98" s="417">
        <v>46171</v>
      </c>
      <c r="AJ98" s="417">
        <v>46171</v>
      </c>
      <c r="AK98" s="417">
        <v>46171</v>
      </c>
      <c r="AL98" s="417">
        <v>46171</v>
      </c>
      <c r="AM98" s="418">
        <v>46171</v>
      </c>
      <c r="AO98" s="17"/>
      <c r="AP98" s="17"/>
      <c r="AT98" s="48"/>
      <c r="AV98" s="48"/>
    </row>
    <row r="99" spans="1:48" s="3" customFormat="1" ht="12.95">
      <c r="A99" s="419"/>
      <c r="B99" s="419"/>
      <c r="C99" s="419"/>
      <c r="AO99" s="17"/>
      <c r="AP99" s="17"/>
      <c r="AT99" s="48"/>
      <c r="AV99" s="48"/>
    </row>
    <row r="100" spans="1:48" s="3" customFormat="1" ht="12.95">
      <c r="A100" s="5"/>
      <c r="AO100" s="17"/>
      <c r="AP100" s="17"/>
      <c r="AT100" s="48"/>
      <c r="AV100" s="48"/>
    </row>
    <row r="101" spans="1:48" s="3" customFormat="1" ht="12.95">
      <c r="A101" s="5"/>
      <c r="AO101" s="17"/>
      <c r="AP101" s="17"/>
      <c r="AT101" s="48"/>
      <c r="AV101" s="48"/>
    </row>
    <row r="102" spans="1:48" s="3" customFormat="1" ht="12.95">
      <c r="A102" s="5"/>
      <c r="AO102" s="17"/>
      <c r="AP102" s="17"/>
      <c r="AT102" s="48"/>
      <c r="AV102" s="48"/>
    </row>
    <row r="103" spans="1:48" s="3" customFormat="1" ht="12.95">
      <c r="A103" s="5"/>
      <c r="AO103" s="17"/>
      <c r="AP103" s="17"/>
      <c r="AT103" s="48"/>
      <c r="AV103" s="48"/>
    </row>
    <row r="104" spans="1:48" s="3" customFormat="1" ht="12.95">
      <c r="A104" s="5"/>
      <c r="AO104" s="17"/>
      <c r="AP104" s="17"/>
      <c r="AT104" s="48"/>
      <c r="AV104" s="48"/>
    </row>
    <row r="105" spans="1:48" s="3" customFormat="1" ht="12.95">
      <c r="A105" s="5"/>
      <c r="AO105" s="17"/>
      <c r="AP105" s="17"/>
      <c r="AT105" s="48"/>
      <c r="AV105" s="48"/>
    </row>
    <row r="106" spans="1:48" s="3" customFormat="1" ht="12.95">
      <c r="A106" s="5"/>
      <c r="AO106" s="17"/>
      <c r="AP106" s="17"/>
      <c r="AT106" s="48"/>
      <c r="AV106" s="48"/>
    </row>
    <row r="107" spans="1:48" s="3" customFormat="1" ht="12.95">
      <c r="A107" s="5"/>
      <c r="AO107" s="17"/>
      <c r="AP107" s="17"/>
      <c r="AT107" s="48"/>
      <c r="AV107" s="48"/>
    </row>
    <row r="108" spans="1:48" s="3" customFormat="1" ht="12.95">
      <c r="A108" s="5"/>
      <c r="AO108" s="17"/>
      <c r="AP108" s="17"/>
      <c r="AT108" s="48"/>
      <c r="AV108" s="48"/>
    </row>
    <row r="109" spans="1:48" s="3" customFormat="1" ht="12.95">
      <c r="A109" s="5"/>
      <c r="AO109" s="17"/>
      <c r="AP109" s="17"/>
      <c r="AT109" s="48"/>
      <c r="AV109" s="48"/>
    </row>
    <row r="110" spans="1:48" s="3" customFormat="1" ht="12.95">
      <c r="A110" s="5"/>
      <c r="AO110" s="17"/>
      <c r="AP110" s="17"/>
      <c r="AT110" s="48"/>
      <c r="AV110" s="48"/>
    </row>
    <row r="111" spans="1:48" s="3" customFormat="1" ht="12.95">
      <c r="A111" s="5"/>
      <c r="AO111" s="17"/>
      <c r="AP111" s="17"/>
      <c r="AT111" s="48"/>
      <c r="AV111" s="48"/>
    </row>
    <row r="112" spans="1:48" s="3" customFormat="1" ht="12.95">
      <c r="A112" s="5"/>
      <c r="AO112" s="17"/>
      <c r="AP112" s="17"/>
      <c r="AT112" s="48"/>
      <c r="AV112" s="48"/>
    </row>
    <row r="113" spans="1:48" s="3" customFormat="1" ht="12.95">
      <c r="A113" s="5"/>
      <c r="AO113" s="17"/>
      <c r="AP113" s="17"/>
      <c r="AT113" s="48"/>
      <c r="AV113" s="48"/>
    </row>
    <row r="114" spans="1:48" s="3" customFormat="1" ht="12.95">
      <c r="A114" s="5"/>
      <c r="AO114" s="17"/>
      <c r="AP114" s="17"/>
      <c r="AT114" s="48"/>
      <c r="AV114" s="48"/>
    </row>
    <row r="115" spans="1:48" s="3" customFormat="1" ht="12.95">
      <c r="A115" s="5"/>
      <c r="AO115" s="17"/>
      <c r="AP115" s="17"/>
      <c r="AT115" s="48"/>
      <c r="AV115" s="48"/>
    </row>
    <row r="116" spans="1:48" s="3" customFormat="1" ht="12.95">
      <c r="A116" s="5"/>
      <c r="AO116" s="17"/>
      <c r="AP116" s="17"/>
      <c r="AT116" s="48"/>
      <c r="AV116" s="48"/>
    </row>
    <row r="117" spans="1:48" s="3" customFormat="1" ht="12.95">
      <c r="A117" s="5"/>
      <c r="AO117" s="17"/>
      <c r="AP117" s="17"/>
      <c r="AT117" s="48"/>
      <c r="AV117" s="48"/>
    </row>
    <row r="118" spans="1:48" s="3" customFormat="1" ht="12.95">
      <c r="A118" s="5"/>
      <c r="AO118" s="17"/>
      <c r="AP118" s="17"/>
      <c r="AT118" s="48"/>
      <c r="AV118" s="48"/>
    </row>
    <row r="119" spans="1:48" s="3" customFormat="1" ht="12.95">
      <c r="A119" s="5"/>
      <c r="AO119" s="17"/>
      <c r="AP119" s="17"/>
      <c r="AT119" s="48"/>
      <c r="AV119" s="48"/>
    </row>
    <row r="120" spans="1:48" s="3" customFormat="1" ht="12.95">
      <c r="A120" s="5"/>
      <c r="AO120" s="17"/>
      <c r="AP120" s="17"/>
      <c r="AT120" s="48"/>
      <c r="AV120" s="48"/>
    </row>
    <row r="121" spans="1:48" s="3" customFormat="1" ht="12.95">
      <c r="A121" s="5"/>
      <c r="AO121" s="17"/>
      <c r="AP121" s="17"/>
      <c r="AT121" s="48"/>
      <c r="AV121" s="48"/>
    </row>
    <row r="122" spans="1:48" s="3" customFormat="1" ht="12.95">
      <c r="A122" s="5"/>
      <c r="AO122" s="17"/>
      <c r="AP122" s="17"/>
      <c r="AT122" s="48"/>
      <c r="AV122" s="48"/>
    </row>
    <row r="123" spans="1:48" s="3" customFormat="1" ht="12.95">
      <c r="A123" s="5"/>
      <c r="AO123" s="17"/>
      <c r="AP123" s="17"/>
      <c r="AT123" s="48"/>
      <c r="AV123" s="48"/>
    </row>
    <row r="124" spans="1:48" s="3" customFormat="1" ht="12.95">
      <c r="A124" s="5"/>
      <c r="AO124" s="17"/>
      <c r="AP124" s="17"/>
      <c r="AT124" s="48"/>
      <c r="AV124" s="48"/>
    </row>
    <row r="125" spans="1:48" s="3" customFormat="1" ht="12.95">
      <c r="A125" s="5"/>
      <c r="AO125" s="17"/>
      <c r="AP125" s="17"/>
      <c r="AT125" s="48"/>
      <c r="AV125" s="48"/>
    </row>
    <row r="126" spans="1:48" s="3" customFormat="1" ht="12.95">
      <c r="A126" s="5"/>
      <c r="AO126" s="17"/>
      <c r="AP126" s="17"/>
      <c r="AT126" s="48"/>
      <c r="AV126" s="48"/>
    </row>
    <row r="127" spans="1:48" s="3" customFormat="1" ht="12.95">
      <c r="A127" s="5"/>
      <c r="AO127" s="17"/>
      <c r="AP127" s="17"/>
      <c r="AT127" s="48"/>
      <c r="AV127" s="48"/>
    </row>
    <row r="128" spans="1:48" s="3" customFormat="1" ht="12.95">
      <c r="A128" s="5"/>
      <c r="AO128" s="17"/>
      <c r="AP128" s="17"/>
      <c r="AT128" s="48"/>
      <c r="AV128" s="48"/>
    </row>
    <row r="129" spans="1:48" s="3" customFormat="1" ht="12.95">
      <c r="A129" s="5"/>
      <c r="AO129" s="17"/>
      <c r="AP129" s="17"/>
      <c r="AT129" s="48"/>
      <c r="AV129" s="48"/>
    </row>
    <row r="130" spans="1:48" s="3" customFormat="1" ht="12.95">
      <c r="A130" s="5"/>
      <c r="AO130" s="17"/>
      <c r="AP130" s="17"/>
      <c r="AT130" s="48"/>
      <c r="AV130" s="48"/>
    </row>
    <row r="131" spans="1:48" s="3" customFormat="1" ht="12.95">
      <c r="A131" s="5"/>
      <c r="AO131" s="17"/>
      <c r="AP131" s="17"/>
      <c r="AT131" s="48"/>
      <c r="AV131" s="48"/>
    </row>
    <row r="132" spans="1:48" s="3" customFormat="1" ht="12.95">
      <c r="A132" s="5"/>
      <c r="AO132" s="17"/>
      <c r="AP132" s="17"/>
      <c r="AT132" s="48"/>
      <c r="AV132" s="48"/>
    </row>
    <row r="133" spans="1:48" s="3" customFormat="1" ht="12.95">
      <c r="A133" s="5"/>
      <c r="AO133" s="17"/>
      <c r="AP133" s="17"/>
      <c r="AT133" s="48"/>
      <c r="AV133" s="48"/>
    </row>
    <row r="134" spans="1:48" s="3" customFormat="1" ht="12.95">
      <c r="A134" s="5"/>
      <c r="AO134" s="17"/>
      <c r="AP134" s="17"/>
      <c r="AT134" s="48"/>
      <c r="AV134" s="48"/>
    </row>
    <row r="135" spans="1:48" s="3" customFormat="1" ht="12.95">
      <c r="A135" s="5"/>
      <c r="AO135" s="17"/>
      <c r="AP135" s="17"/>
      <c r="AT135" s="48"/>
      <c r="AV135" s="48"/>
    </row>
    <row r="136" spans="1:48" s="3" customFormat="1" ht="12.95">
      <c r="A136" s="5"/>
      <c r="AO136" s="17"/>
      <c r="AP136" s="17"/>
      <c r="AT136" s="48"/>
      <c r="AV136" s="48"/>
    </row>
    <row r="137" spans="1:48" s="3" customFormat="1" ht="12.95">
      <c r="A137" s="5"/>
      <c r="AO137" s="17"/>
      <c r="AP137" s="17"/>
      <c r="AT137" s="48"/>
      <c r="AV137" s="48"/>
    </row>
    <row r="138" spans="1:48" s="3" customFormat="1" ht="12.95">
      <c r="A138" s="5"/>
      <c r="AO138" s="17"/>
      <c r="AP138" s="17"/>
      <c r="AT138" s="48"/>
      <c r="AV138" s="48"/>
    </row>
    <row r="139" spans="1:48" s="3" customFormat="1" ht="12.95">
      <c r="A139" s="5"/>
      <c r="AO139" s="17"/>
      <c r="AP139" s="17"/>
      <c r="AT139" s="48"/>
      <c r="AV139" s="48"/>
    </row>
    <row r="140" spans="1:48" s="3" customFormat="1" ht="12.95">
      <c r="A140" s="5"/>
      <c r="AO140" s="17"/>
      <c r="AP140" s="17"/>
      <c r="AT140" s="48"/>
      <c r="AV140" s="48"/>
    </row>
    <row r="141" spans="1:48" s="3" customFormat="1" ht="12.95">
      <c r="A141" s="5"/>
      <c r="AO141" s="17"/>
      <c r="AP141" s="17"/>
      <c r="AT141" s="48"/>
      <c r="AV141" s="48"/>
    </row>
    <row r="142" spans="1:48" s="3" customFormat="1" ht="12.95">
      <c r="A142" s="5"/>
      <c r="AO142" s="17"/>
      <c r="AP142" s="17"/>
      <c r="AT142" s="48"/>
      <c r="AV142" s="48"/>
    </row>
    <row r="143" spans="1:48" s="3" customFormat="1" ht="12.95">
      <c r="A143" s="5"/>
      <c r="AO143" s="17"/>
      <c r="AP143" s="17"/>
      <c r="AT143" s="48"/>
      <c r="AV143" s="48"/>
    </row>
    <row r="144" spans="1:48" s="3" customFormat="1" ht="12.95">
      <c r="A144" s="5"/>
      <c r="AO144" s="17"/>
      <c r="AP144" s="17"/>
      <c r="AT144" s="48"/>
      <c r="AV144" s="48"/>
    </row>
    <row r="145" spans="1:48" s="3" customFormat="1" ht="12.95">
      <c r="A145" s="5"/>
      <c r="AO145" s="17"/>
      <c r="AP145" s="17"/>
      <c r="AT145" s="48"/>
      <c r="AV145" s="48"/>
    </row>
    <row r="146" spans="1:48" s="3" customFormat="1" ht="12.95">
      <c r="A146" s="5"/>
      <c r="AO146" s="17"/>
      <c r="AP146" s="17"/>
      <c r="AT146" s="48"/>
      <c r="AV146" s="48"/>
    </row>
    <row r="147" spans="1:48" s="3" customFormat="1" ht="12.95">
      <c r="A147" s="5"/>
      <c r="AO147" s="17"/>
      <c r="AP147" s="17"/>
      <c r="AT147" s="48"/>
      <c r="AV147" s="48"/>
    </row>
    <row r="148" spans="1:48" s="3" customFormat="1" ht="12.95">
      <c r="A148" s="5"/>
      <c r="AO148" s="17"/>
      <c r="AP148" s="17"/>
      <c r="AT148" s="48"/>
      <c r="AV148" s="48"/>
    </row>
    <row r="149" spans="1:48" s="3" customFormat="1" ht="12.95">
      <c r="A149" s="5"/>
      <c r="AO149" s="17"/>
      <c r="AP149" s="17"/>
      <c r="AT149" s="48"/>
      <c r="AV149" s="48"/>
    </row>
    <row r="150" spans="1:48" s="3" customFormat="1" ht="12.95">
      <c r="A150" s="5"/>
      <c r="AO150" s="17"/>
      <c r="AP150" s="17"/>
      <c r="AT150" s="48"/>
      <c r="AV150" s="48"/>
    </row>
    <row r="151" spans="1:48" s="3" customFormat="1" ht="12.95">
      <c r="A151" s="5"/>
      <c r="AO151" s="17"/>
      <c r="AP151" s="17"/>
      <c r="AT151" s="48"/>
      <c r="AV151" s="48"/>
    </row>
    <row r="152" spans="1:48" s="3" customFormat="1" ht="12.95">
      <c r="A152" s="5"/>
      <c r="AO152" s="17"/>
      <c r="AP152" s="17"/>
      <c r="AT152" s="48"/>
      <c r="AV152" s="48"/>
    </row>
    <row r="153" spans="1:48" s="3" customFormat="1" ht="12.95">
      <c r="A153" s="5"/>
      <c r="AO153" s="17"/>
      <c r="AP153" s="17"/>
      <c r="AT153" s="48"/>
      <c r="AV153" s="48"/>
    </row>
    <row r="154" spans="1:48" s="3" customFormat="1" ht="12.95">
      <c r="A154" s="5"/>
      <c r="AO154" s="17"/>
      <c r="AP154" s="17"/>
      <c r="AT154" s="48"/>
      <c r="AV154" s="48"/>
    </row>
    <row r="155" spans="1:48" s="3" customFormat="1" ht="12.95">
      <c r="A155" s="5"/>
      <c r="AO155" s="17"/>
      <c r="AP155" s="17"/>
      <c r="AT155" s="48"/>
      <c r="AV155" s="48"/>
    </row>
    <row r="156" spans="1:48" s="3" customFormat="1" ht="12.95">
      <c r="A156" s="5"/>
      <c r="AO156" s="17"/>
      <c r="AP156" s="17"/>
      <c r="AT156" s="48"/>
      <c r="AV156" s="48"/>
    </row>
    <row r="157" spans="1:48" s="3" customFormat="1" ht="12.95">
      <c r="A157" s="5"/>
      <c r="AO157" s="17"/>
      <c r="AP157" s="17"/>
      <c r="AT157" s="48"/>
      <c r="AV157" s="48"/>
    </row>
    <row r="158" spans="1:48" s="3" customFormat="1" ht="12.95">
      <c r="A158" s="5"/>
      <c r="AO158" s="17"/>
      <c r="AP158" s="17"/>
      <c r="AT158" s="48"/>
      <c r="AV158" s="48"/>
    </row>
    <row r="159" spans="1:48" s="3" customFormat="1" ht="12.95">
      <c r="A159" s="5"/>
      <c r="AO159" s="17"/>
      <c r="AP159" s="17"/>
      <c r="AT159" s="48"/>
      <c r="AV159" s="48"/>
    </row>
    <row r="160" spans="1:48" s="3" customFormat="1" ht="12.95">
      <c r="A160" s="5"/>
      <c r="AO160" s="17"/>
      <c r="AP160" s="17"/>
      <c r="AT160" s="48"/>
      <c r="AV160" s="48"/>
    </row>
    <row r="161" spans="1:48" s="3" customFormat="1" ht="12.95">
      <c r="A161" s="5"/>
      <c r="AO161" s="17"/>
      <c r="AP161" s="17"/>
      <c r="AT161" s="48"/>
      <c r="AV161" s="48"/>
    </row>
    <row r="162" spans="1:48" s="3" customFormat="1" ht="12.95">
      <c r="A162" s="5"/>
      <c r="AO162" s="17"/>
      <c r="AP162" s="17"/>
      <c r="AT162" s="48"/>
      <c r="AV162" s="48"/>
    </row>
    <row r="163" spans="1:48" s="3" customFormat="1" ht="12.95">
      <c r="A163" s="5"/>
      <c r="AO163" s="17"/>
      <c r="AP163" s="17"/>
      <c r="AT163" s="48"/>
      <c r="AV163" s="48"/>
    </row>
    <row r="164" spans="1:48" s="3" customFormat="1" ht="12.95">
      <c r="A164" s="5"/>
      <c r="AO164" s="17"/>
      <c r="AP164" s="17"/>
      <c r="AT164" s="48"/>
      <c r="AV164" s="48"/>
    </row>
    <row r="165" spans="1:48" ht="12.95">
      <c r="A165" s="5"/>
    </row>
    <row r="166" spans="1:48" ht="12.95">
      <c r="A166" s="5"/>
    </row>
    <row r="167" spans="1:48" ht="12.95">
      <c r="A167" s="5"/>
    </row>
    <row r="168" spans="1:48" ht="12.95">
      <c r="A168" s="5"/>
    </row>
    <row r="169" spans="1:48" ht="12.95">
      <c r="A169" s="5"/>
    </row>
  </sheetData>
  <sheetProtection insertRows="0" insertHyperlinks="0" autoFilter="0"/>
  <protectedRanges>
    <protectedRange algorithmName="SHA-512" hashValue="7FJpRjMClRRlEDaRiv2I45XnJ5nVe6Y81mjOK27+pd76r1+ad5pIvVkVn8vpLooPef4Z+bpcH2bfqg0F/3hsww==" saltValue="Lq5joJryvX0cvidipyTKig==" spinCount="100000" sqref="AI15:AI16" name="Total ore_2_1_1"/>
  </protectedRanges>
  <mergeCells count="112">
    <mergeCell ref="B8:AF10"/>
    <mergeCell ref="B11:AF11"/>
    <mergeCell ref="A12:AF12"/>
    <mergeCell ref="AG12:AG14"/>
    <mergeCell ref="AH12:AH14"/>
    <mergeCell ref="AI12:AI14"/>
    <mergeCell ref="I24:O24"/>
    <mergeCell ref="P24:V24"/>
    <mergeCell ref="I25:O25"/>
    <mergeCell ref="P25:V25"/>
    <mergeCell ref="I26:O26"/>
    <mergeCell ref="P26:V26"/>
    <mergeCell ref="AJ12:AJ14"/>
    <mergeCell ref="AK12:AK14"/>
    <mergeCell ref="AL12:AL14"/>
    <mergeCell ref="I19:O19"/>
    <mergeCell ref="P19:V19"/>
    <mergeCell ref="I21:O21"/>
    <mergeCell ref="P21:V21"/>
    <mergeCell ref="A54:F54"/>
    <mergeCell ref="G54:AM54"/>
    <mergeCell ref="A55:F55"/>
    <mergeCell ref="G55:AM55"/>
    <mergeCell ref="A56:F56"/>
    <mergeCell ref="G56:AM56"/>
    <mergeCell ref="I27:O27"/>
    <mergeCell ref="P27:V27"/>
    <mergeCell ref="A52:F52"/>
    <mergeCell ref="G52:AM52"/>
    <mergeCell ref="A53:F53"/>
    <mergeCell ref="G53:AM53"/>
    <mergeCell ref="B60:C60"/>
    <mergeCell ref="D60:AJ60"/>
    <mergeCell ref="B61:C61"/>
    <mergeCell ref="D61:AJ61"/>
    <mergeCell ref="B62:C62"/>
    <mergeCell ref="D62:AJ62"/>
    <mergeCell ref="B57:C57"/>
    <mergeCell ref="D57:AJ57"/>
    <mergeCell ref="B58:C58"/>
    <mergeCell ref="D58:AJ58"/>
    <mergeCell ref="B59:C59"/>
    <mergeCell ref="D59:AJ59"/>
    <mergeCell ref="B66:C66"/>
    <mergeCell ref="D66:AJ66"/>
    <mergeCell ref="B67:C67"/>
    <mergeCell ref="D67:AJ67"/>
    <mergeCell ref="B68:C68"/>
    <mergeCell ref="D68:AJ68"/>
    <mergeCell ref="B63:C63"/>
    <mergeCell ref="D63:AJ63"/>
    <mergeCell ref="B64:C64"/>
    <mergeCell ref="D64:AJ64"/>
    <mergeCell ref="B65:C65"/>
    <mergeCell ref="D65:AJ65"/>
    <mergeCell ref="B72:C72"/>
    <mergeCell ref="D72:AJ72"/>
    <mergeCell ref="B73:C73"/>
    <mergeCell ref="D73:AJ73"/>
    <mergeCell ref="B74:C74"/>
    <mergeCell ref="D74:AJ74"/>
    <mergeCell ref="B69:C69"/>
    <mergeCell ref="D69:AJ69"/>
    <mergeCell ref="B70:C70"/>
    <mergeCell ref="D70:AJ70"/>
    <mergeCell ref="B71:C71"/>
    <mergeCell ref="D71:AJ71"/>
    <mergeCell ref="B78:C78"/>
    <mergeCell ref="D78:AJ78"/>
    <mergeCell ref="B79:C79"/>
    <mergeCell ref="D79:AJ79"/>
    <mergeCell ref="B80:C80"/>
    <mergeCell ref="D80:AJ80"/>
    <mergeCell ref="B75:C75"/>
    <mergeCell ref="D75:AJ75"/>
    <mergeCell ref="B76:C76"/>
    <mergeCell ref="D76:AJ76"/>
    <mergeCell ref="B77:C77"/>
    <mergeCell ref="D77:AJ77"/>
    <mergeCell ref="B84:C84"/>
    <mergeCell ref="D84:AJ84"/>
    <mergeCell ref="B85:C85"/>
    <mergeCell ref="D85:AJ85"/>
    <mergeCell ref="B86:C86"/>
    <mergeCell ref="D86:AJ86"/>
    <mergeCell ref="B81:C81"/>
    <mergeCell ref="D81:AJ81"/>
    <mergeCell ref="B82:C82"/>
    <mergeCell ref="D82:AJ82"/>
    <mergeCell ref="B83:C83"/>
    <mergeCell ref="D83:AJ83"/>
    <mergeCell ref="A92:C92"/>
    <mergeCell ref="D92:AM92"/>
    <mergeCell ref="A93:C93"/>
    <mergeCell ref="D93:AM93"/>
    <mergeCell ref="A94:C94"/>
    <mergeCell ref="D94:AM94"/>
    <mergeCell ref="B87:C87"/>
    <mergeCell ref="D87:AJ87"/>
    <mergeCell ref="B88:C88"/>
    <mergeCell ref="D88:AJ88"/>
    <mergeCell ref="A89:AK89"/>
    <mergeCell ref="A90:AM91"/>
    <mergeCell ref="A98:C98"/>
    <mergeCell ref="D98:AM98"/>
    <mergeCell ref="A99:C99"/>
    <mergeCell ref="A95:C95"/>
    <mergeCell ref="D95:AM95"/>
    <mergeCell ref="A96:C96"/>
    <mergeCell ref="D96:AM96"/>
    <mergeCell ref="A97:C97"/>
    <mergeCell ref="D97:AM97"/>
  </mergeCells>
  <dataValidations count="7">
    <dataValidation type="custom" errorStyle="warning" showInputMessage="1" showErrorMessage="1" errorTitle="Eroare Validare RP" error="- Dacă AQ este „Da”, trebuie să completezi AR cu experții._x000a_- Stadiul livrabilului (AS) este obligatoriu._x000a_" promptTitle="Validare RP" prompt="Selectează „Da” sau „Nu” pentru Livrabil Comun._x000a_- AR: Completează experții dacă AQ este „Da”._x000a_- AS: Completează stadiul livrabilului (obligatoriu)." sqref="AT76" xr:uid="{DB2837A7-6123-4C39-9A0B-DFB160738BA0}">
      <formula1>AND(AQ79="Nu", OR(AQ79="Da", AND(AQ79="Da", AR79&lt;&gt;"")), AS79&lt;&gt;"")</formula1>
    </dataValidation>
    <dataValidation type="custom" allowBlank="1" showInputMessage="1" showErrorMessage="1" errorTitle="Eroare Validare Livrabil" promptTitle="Validare livrabil" prompt="Asigură-te că celula ”Categorie livrabil 2” este completată înainte de a introduce date în Livrabil 2" sqref="AX58:AX88" xr:uid="{8EB5F150-1549-435F-9640-351179610F4C}">
      <formula1>AW60&lt;&gt;""</formula1>
    </dataValidation>
    <dataValidation type="custom" errorStyle="warning" showInputMessage="1" showErrorMessage="1" errorTitle="Eroare Validare RP" error="- Dacă AQ este „Da”, trebuie să completezi AR cu experții._x000a_- Stadiul livrabilului (AS) este obligatoriu._x000a_" promptTitle="Validare RP" prompt="Selectează „Da” sau „Nu” pentru Livrabil Comun._x000a_- AR: Completează experții dacă AQ este „Da”._x000a_- AS: Completează stadiul livrabilului (obligatoriu)." sqref="AT58" xr:uid="{84825669-BCC2-4A3A-8066-44EB8B88BAB9}">
      <formula1>AND(AQ60="Nu", OR(AQ60="Da", AND(AQ60="Da", AR60&lt;&gt;"")), AS60&lt;&gt;"")</formula1>
    </dataValidation>
    <dataValidation type="custom" allowBlank="1" showInputMessage="1" showErrorMessage="1" errorTitle="Eroare Validare Livrabil" error="Categoria livrabilului (AU) este obligatoriu." sqref="AV58:AV59 AV61 AV64 AV77:AV88" xr:uid="{FD236D7F-37DC-4928-8D11-0BFF43424B97}">
      <formula1>AU60&lt;&gt;""</formula1>
    </dataValidation>
    <dataValidation type="custom" allowBlank="1" showInputMessage="1" showErrorMessage="1" errorTitle="Eroare Validare Livrabil" error="Categoria livrabilului (AU) este obligatoriu." sqref="AV72 AV68:AV70 AV74" xr:uid="{6C15563C-FD5C-48DB-B960-3B4091062896}">
      <formula1>AU71&lt;&gt;""</formula1>
    </dataValidation>
    <dataValidation type="custom" errorStyle="warning" showInputMessage="1" showErrorMessage="1" errorTitle="Eroare Validare RP" error="- Dacă AQ este „Da”, trebuie să completezi AR cu experții._x000a_- Stadiul livrabilului (AS) este obligatoriu._x000a_" promptTitle="Validare RP" prompt="Selectează „Da” sau „Nu” pentru Livrabil Comun._x000a_- AR: Completează experții dacă AQ este „Da”._x000a_- AS: Completează stadiul livrabilului (obligatoriu)." sqref="AT88" xr:uid="{2CF687C5-44D2-43A0-827D-595838D67ED9}">
      <formula1>AND(#REF!="Nu", OR(#REF!="Da", AND(#REF!="Da", #REF!&lt;&gt;"")), #REF!&lt;&gt;"")</formula1>
    </dataValidation>
    <dataValidation type="custom" errorStyle="warning" showInputMessage="1" showErrorMessage="1" errorTitle="Eroare Validare RP" error="- Dacă AQ este „Da”, trebuie să completezi AR cu experții._x000a_- Stadiul livrabilului (AS) este obligatoriu._x000a_" promptTitle="Validare RP" prompt="Selectează „Da” sau „Nu” pentru Livrabil Comun._x000a_- AR: Completează experții dacă AQ este „Da”._x000a_- AS: Completează stadiul livrabilului (obligatoriu)." sqref="AT80" xr:uid="{E24D118F-6E6C-4D27-A9E8-2219FCD11E95}">
      <formula1>AND(AQ84="Nu", OR(AQ84="Da", AND(AQ84="Da", AR84&lt;&gt;"")), AS84&lt;&gt;"")</formula1>
    </dataValidation>
  </dataValidations>
  <hyperlinks>
    <hyperlink ref="AT69" r:id="rId1" display="20260504_RP_ Intalniri online-apr 2026.docx" xr:uid="{09BB8816-2490-429A-BD5D-113A1F64DE50}"/>
    <hyperlink ref="AT62" r:id="rId2" display="20260505_RP_ Publicare anunta AJ_IL.docx" xr:uid="{F3F7F805-5B53-4A1F-8364-6CBA0455ED03}"/>
    <hyperlink ref="AT65" r:id="rId3" display="20260508_RP_GDPR_lansare licitatie.docx" xr:uid="{346E159B-9811-487A-81C9-9930EECF8559}"/>
    <hyperlink ref="AT64" r:id="rId4" display="20260507_RP EVENIMENTE BH_GDPR_apr 2026.docx" xr:uid="{273EA934-D9FF-47AC-BE11-77FCC621A951}"/>
    <hyperlink ref="AT70" r:id="rId5" display="20260513_RP_GDPR_lansare licitatie.docx" xr:uid="{101DF6E3-30C9-49E9-920C-7C09141FAFB6}"/>
    <hyperlink ref="AT71" r:id="rId6" display="20260514_RP_ GDPR_Comunicate_Apr 2026.docx" xr:uid="{FA007E8B-58ED-4535-A1AF-88A7BF560BA5}"/>
    <hyperlink ref="AT63" r:id="rId7" display="20260506_RP_GDPR_Rezultat licitatie Flexibilitatea Muncii.docx" xr:uid="{AE309988-F938-4BB9-8594-F79441C6BA32}"/>
    <hyperlink ref="AT68" r:id="rId8" display="20260504_GT-Monitorizare GDPR pe perioada 01.04.2026-30.04.2026.docx" xr:uid="{901BB463-086A-4DCE-B470-EBC4E553283E}"/>
    <hyperlink ref="AT72" r:id="rId9" display="20260515_GDPR_Contractare_flexibilitatea muncii.docx" xr:uid="{86ED3827-E286-42E1-A707-66038F1CA704}"/>
    <hyperlink ref="AT75" r:id="rId10" display="20260518_Minuta_Masa Rotunda Federatii CPC_mai.docx" xr:uid="{CC7C5108-AC2E-4400-971F-3261DFCF6C6E}"/>
    <hyperlink ref="AT78" r:id="rId11" display="20260521_Etapa I_Evaluare GDPR_AJ_Tr_Ilfov.docx" xr:uid="{CD12FC75-5BAB-497F-A148-8104E4848F40}"/>
  </hyperlinks>
  <pageMargins left="0.25" right="0.25" top="0.75" bottom="0.75" header="0.3" footer="0.3"/>
  <pageSetup paperSize="9" scale="31" fitToWidth="0" orientation="portrait" r:id="rId12"/>
  <drawing r:id="rId13"/>
  <tableParts count="1">
    <tablePart r:id="rId1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518A5-7C0F-480E-A8B9-B76124FB7C4B}">
  <sheetPr codeName="Foaie7"/>
  <dimension ref="A1:D11"/>
  <sheetViews>
    <sheetView zoomScale="70" zoomScaleNormal="70" workbookViewId="0">
      <selection activeCell="C9" sqref="C9"/>
    </sheetView>
  </sheetViews>
  <sheetFormatPr defaultColWidth="8.5703125" defaultRowHeight="14.45"/>
  <cols>
    <col min="1" max="15" width="49.5703125" style="9" customWidth="1"/>
    <col min="16" max="16384" width="8.5703125" style="9"/>
  </cols>
  <sheetData>
    <row r="1" spans="1:4" s="8" customFormat="1" ht="15" thickBot="1">
      <c r="A1" s="7" t="s">
        <v>68</v>
      </c>
      <c r="B1" s="43" t="s">
        <v>246</v>
      </c>
      <c r="C1" s="43" t="s">
        <v>247</v>
      </c>
      <c r="D1" s="44" t="s">
        <v>248</v>
      </c>
    </row>
    <row r="2" spans="1:4">
      <c r="A2" s="9" t="s">
        <v>69</v>
      </c>
      <c r="B2" s="45" t="s">
        <v>71</v>
      </c>
      <c r="C2" s="45" t="s">
        <v>73</v>
      </c>
      <c r="D2" s="45" t="s">
        <v>249</v>
      </c>
    </row>
    <row r="3" spans="1:4">
      <c r="B3" s="45" t="s">
        <v>76</v>
      </c>
      <c r="C3" s="45" t="s">
        <v>78</v>
      </c>
      <c r="D3" s="45" t="s">
        <v>250</v>
      </c>
    </row>
    <row r="4" spans="1:4">
      <c r="B4" s="45"/>
      <c r="C4" s="45"/>
      <c r="D4" s="45" t="s">
        <v>251</v>
      </c>
    </row>
    <row r="5" spans="1:4">
      <c r="B5" s="45"/>
      <c r="C5" s="45"/>
      <c r="D5" s="45" t="s">
        <v>252</v>
      </c>
    </row>
    <row r="6" spans="1:4">
      <c r="B6" s="45"/>
      <c r="C6" s="45"/>
      <c r="D6" s="45" t="s">
        <v>253</v>
      </c>
    </row>
    <row r="7" spans="1:4">
      <c r="B7" s="45"/>
      <c r="C7" s="45"/>
      <c r="D7" s="45" t="s">
        <v>254</v>
      </c>
    </row>
    <row r="8" spans="1:4">
      <c r="B8" s="45"/>
      <c r="C8" s="45"/>
      <c r="D8" s="45" t="s">
        <v>255</v>
      </c>
    </row>
    <row r="9" spans="1:4">
      <c r="B9" s="45"/>
      <c r="C9" s="45"/>
      <c r="D9" s="45" t="s">
        <v>256</v>
      </c>
    </row>
    <row r="10" spans="1:4">
      <c r="B10" s="45"/>
      <c r="C10" s="45"/>
      <c r="D10" s="45" t="s">
        <v>157</v>
      </c>
    </row>
    <row r="11" spans="1:4">
      <c r="B11" s="45"/>
      <c r="C11" s="45"/>
      <c r="D11" s="45" t="s">
        <v>110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B43925E7DDDEE4D9A9363E124A7440E" ma:contentTypeVersion="18" ma:contentTypeDescription="Create a new document." ma:contentTypeScope="" ma:versionID="0007ffe4f58d2c15f346b2eabbfcaf7f">
  <xsd:schema xmlns:xsd="http://www.w3.org/2001/XMLSchema" xmlns:xs="http://www.w3.org/2001/XMLSchema" xmlns:p="http://schemas.microsoft.com/office/2006/metadata/properties" xmlns:ns2="426d1871-8ebd-4d76-a4b1-d669de8bb031" xmlns:ns3="99f79959-8c4d-4586-82eb-b14cac0d5854" targetNamespace="http://schemas.microsoft.com/office/2006/metadata/properties" ma:root="true" ma:fieldsID="f4c1a9a45688cd57079dab6e5642d00f" ns2:_="" ns3:_="">
    <xsd:import namespace="426d1871-8ebd-4d76-a4b1-d669de8bb031"/>
    <xsd:import namespace="99f79959-8c4d-4586-82eb-b14cac0d585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6d1871-8ebd-4d76-a4b1-d669de8bb0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7cbeb6bc-7257-4da4-8a27-f047df424239" ma:termSetId="09814cd3-568e-fe90-9814-8d621ff8fb84" ma:anchorId="fba54fb3-c3e1-fe81-a776-ca4b69148c4d" ma:open="true" ma:isKeyword="false">
      <xsd:complexType>
        <xsd:sequence>
          <xsd:element ref="pc:Terms" minOccurs="0" maxOccurs="1"/>
        </xsd:sequence>
      </xsd:complex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9f79959-8c4d-4586-82eb-b14cac0d585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2974a3b3-0ed8-4cec-bcc1-407513805cad}" ma:internalName="TaxCatchAll" ma:showField="CatchAllData" ma:web="99f79959-8c4d-4586-82eb-b14cac0d585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9f79959-8c4d-4586-82eb-b14cac0d5854" xsi:nil="true"/>
    <lcf76f155ced4ddcb4097134ff3c332f xmlns="426d1871-8ebd-4d76-a4b1-d669de8bb031">
      <Terms xmlns="http://schemas.microsoft.com/office/infopath/2007/PartnerControls"/>
    </lcf76f155ced4ddcb4097134ff3c332f>
    <SharedWithUsers xmlns="99f79959-8c4d-4586-82eb-b14cac0d5854">
      <UserInfo>
        <DisplayName>Diana Ungureanu</DisplayName>
        <AccountId>11</AccountId>
        <AccountType/>
      </UserInfo>
    </SharedWithUsers>
  </documentManagement>
</p:properties>
</file>

<file path=customXml/itemProps1.xml><?xml version="1.0" encoding="utf-8"?>
<ds:datastoreItem xmlns:ds="http://schemas.openxmlformats.org/officeDocument/2006/customXml" ds:itemID="{1716315F-5444-4E31-AE8E-02008739A40D}"/>
</file>

<file path=customXml/itemProps2.xml><?xml version="1.0" encoding="utf-8"?>
<ds:datastoreItem xmlns:ds="http://schemas.openxmlformats.org/officeDocument/2006/customXml" ds:itemID="{D80B35E4-E839-46DC-9489-81107B68D060}"/>
</file>

<file path=customXml/itemProps3.xml><?xml version="1.0" encoding="utf-8"?>
<ds:datastoreItem xmlns:ds="http://schemas.openxmlformats.org/officeDocument/2006/customXml" ds:itemID="{28FCB85C-45E1-43FE-BA6A-D96AF2A32E3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Zorica Dediu</dc:creator>
  <cp:keywords/>
  <dc:description/>
  <cp:lastModifiedBy>Simona  Khamissi</cp:lastModifiedBy>
  <cp:revision/>
  <dcterms:created xsi:type="dcterms:W3CDTF">2021-11-03T07:20:54Z</dcterms:created>
  <dcterms:modified xsi:type="dcterms:W3CDTF">2026-05-20T13:49:35Z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0x0101007B43925E7DDDEE4D9A9363E124A7440E</vt:lpwstr>
  </property>
  <property fmtid="{D5CDD505-2E9C-101B-9397-08002B2CF9AE}" pid="3" name="MediaServiceImageTags">
    <vt:lpwstr/>
  </property>
</Properties>
</file>
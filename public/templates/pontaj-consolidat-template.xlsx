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xanaIvanov\OneDrive - Confederatia Concordia\Concordia admin - Buget si plati - PONTAJE PROIECTE_ALL-2026\"/>
    </mc:Choice>
  </mc:AlternateContent>
  <xr:revisionPtr revIDLastSave="0" documentId="13_ncr:1_{6BF33E94-C109-4915-A3DD-6916E36492EA}" xr6:coauthVersionLast="47" xr6:coauthVersionMax="47" xr10:uidLastSave="{00000000-0000-0000-0000-000000000000}"/>
  <bookViews>
    <workbookView xWindow="-110" yWindow="-110" windowWidth="19420" windowHeight="10300" tabRatio="805" firstSheet="3" activeTab="4" xr2:uid="{4EF1396C-4D51-47A5-B58B-39E77F855445}"/>
  </bookViews>
  <sheets>
    <sheet name="IAN 2026" sheetId="52" r:id="rId1"/>
    <sheet name="FEBR 2026" sheetId="53" r:id="rId2"/>
    <sheet name="MAR 2026" sheetId="54" r:id="rId3"/>
    <sheet name="APR 2026" sheetId="55" r:id="rId4"/>
    <sheet name="MAI 2026" sheetId="56" r:id="rId5"/>
    <sheet name="Activitati" sheetId="32" r:id="rId6"/>
  </sheets>
  <definedNames>
    <definedName name="_xlnm._FilterDatabase" localSheetId="3" hidden="1">'APR 2026'!$A$109:$BB$150</definedName>
    <definedName name="_xlnm._FilterDatabase" localSheetId="1" hidden="1">'FEBR 2026'!$A$106:$BB$147</definedName>
    <definedName name="_xlnm._FilterDatabase" localSheetId="0" hidden="1">'IAN 2026'!$A$109:$BB$152</definedName>
    <definedName name="_xlnm._FilterDatabase" localSheetId="4" hidden="1">'MAI 2026'!$A$107:$BB$149</definedName>
    <definedName name="_xlnm._FilterDatabase" localSheetId="2" hidden="1">'MAR 2026'!$A$109:$BB$151</definedName>
    <definedName name="_xlnm.Print_Titles" localSheetId="3">'APR 2026'!$114:$114</definedName>
    <definedName name="_xlnm.Print_Titles" localSheetId="1">'FEBR 2026'!$111:$111</definedName>
    <definedName name="_xlnm.Print_Titles" localSheetId="0">'IAN 2026'!$114:$114</definedName>
    <definedName name="_xlnm.Print_Titles" localSheetId="4">'MAI 2026'!$112:$112</definedName>
    <definedName name="_xlnm.Print_Titles" localSheetId="2">'MAR 2026'!$114:$114</definedName>
    <definedName name="s" localSheetId="3">'APR 2026'!$114:$114</definedName>
    <definedName name="s" localSheetId="1">'FEBR 2026'!$111:$111</definedName>
    <definedName name="s" localSheetId="0">'IAN 2026'!$114:$114</definedName>
    <definedName name="s" localSheetId="4">'MAI 2026'!$112:$112</definedName>
    <definedName name="s" localSheetId="2">'MAR 2026'!$114:$114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6" l="1" a="1"/>
  <c r="B16" i="56" s="1"/>
  <c r="F82" i="56"/>
  <c r="D82" i="56"/>
  <c r="B82" i="56"/>
  <c r="E80" i="56"/>
  <c r="AJ16" i="56"/>
  <c r="AK16" i="56" l="1"/>
  <c r="AL16" i="56" s="1"/>
  <c r="AG16" i="56"/>
  <c r="AH16" i="56" s="1"/>
  <c r="AL144" i="56" l="1"/>
  <c r="AP143" i="56"/>
  <c r="AO143" i="56"/>
  <c r="AP142" i="56"/>
  <c r="AO142" i="56"/>
  <c r="AP141" i="56"/>
  <c r="AO141" i="56"/>
  <c r="AP140" i="56"/>
  <c r="AO140" i="56"/>
  <c r="AP139" i="56"/>
  <c r="AO139" i="56"/>
  <c r="AP138" i="56"/>
  <c r="AO138" i="56"/>
  <c r="AP137" i="56"/>
  <c r="AO137" i="56"/>
  <c r="AP136" i="56"/>
  <c r="AO136" i="56"/>
  <c r="AP135" i="56"/>
  <c r="AO135" i="56"/>
  <c r="AP134" i="56"/>
  <c r="AO134" i="56"/>
  <c r="AP133" i="56"/>
  <c r="AO133" i="56"/>
  <c r="AP132" i="56"/>
  <c r="AO132" i="56"/>
  <c r="AP131" i="56"/>
  <c r="AO131" i="56"/>
  <c r="AP130" i="56"/>
  <c r="AO130" i="56"/>
  <c r="AP129" i="56"/>
  <c r="AO129" i="56"/>
  <c r="AP128" i="56"/>
  <c r="AO128" i="56"/>
  <c r="AP127" i="56"/>
  <c r="AO127" i="56"/>
  <c r="AP126" i="56"/>
  <c r="AO126" i="56"/>
  <c r="AP125" i="56"/>
  <c r="AO125" i="56"/>
  <c r="AP124" i="56"/>
  <c r="AO124" i="56"/>
  <c r="AP123" i="56"/>
  <c r="AO123" i="56"/>
  <c r="AP122" i="56"/>
  <c r="AO122" i="56"/>
  <c r="AP121" i="56"/>
  <c r="AO121" i="56"/>
  <c r="AP120" i="56"/>
  <c r="AO120" i="56"/>
  <c r="AP119" i="56"/>
  <c r="AO119" i="56"/>
  <c r="AP118" i="56"/>
  <c r="AO118" i="56"/>
  <c r="AP117" i="56"/>
  <c r="AO117" i="56"/>
  <c r="AP116" i="56"/>
  <c r="AO116" i="56"/>
  <c r="AP115" i="56"/>
  <c r="AO115" i="56"/>
  <c r="AP114" i="56"/>
  <c r="AO114" i="56"/>
  <c r="AP113" i="56"/>
  <c r="AO113" i="56"/>
  <c r="AD17" i="56"/>
  <c r="AD15" i="56" s="1"/>
  <c r="AC17" i="56"/>
  <c r="AC15" i="56" s="1"/>
  <c r="AB17" i="56"/>
  <c r="AB15" i="56" s="1"/>
  <c r="AA17" i="56"/>
  <c r="AA15" i="56" s="1"/>
  <c r="Z17" i="56"/>
  <c r="Z15" i="56" s="1"/>
  <c r="W17" i="56"/>
  <c r="W15" i="56" s="1"/>
  <c r="V17" i="56"/>
  <c r="V15" i="56" s="1"/>
  <c r="U17" i="56"/>
  <c r="U15" i="56" s="1"/>
  <c r="T17" i="56"/>
  <c r="T15" i="56" s="1"/>
  <c r="S17" i="56"/>
  <c r="S15" i="56" s="1"/>
  <c r="P17" i="56"/>
  <c r="P15" i="56" s="1"/>
  <c r="O17" i="56"/>
  <c r="O15" i="56" s="1"/>
  <c r="N17" i="56"/>
  <c r="N15" i="56" s="1"/>
  <c r="M17" i="56"/>
  <c r="M15" i="56" s="1"/>
  <c r="I17" i="56"/>
  <c r="I15" i="56" s="1"/>
  <c r="H17" i="56"/>
  <c r="H15" i="56" s="1"/>
  <c r="G17" i="56"/>
  <c r="G15" i="56" s="1"/>
  <c r="F17" i="56"/>
  <c r="F15" i="56" s="1"/>
  <c r="E17" i="56"/>
  <c r="E15" i="56" s="1"/>
  <c r="AK17" i="56" l="1"/>
  <c r="AL17" i="56" s="1"/>
  <c r="M18" i="56"/>
  <c r="S18" i="56"/>
  <c r="O18" i="56"/>
  <c r="N18" i="56"/>
  <c r="P18" i="56"/>
  <c r="T18" i="56"/>
  <c r="AI17" i="56"/>
  <c r="AJ17" i="56" s="1"/>
  <c r="AM139" i="56"/>
  <c r="AM134" i="56"/>
  <c r="AM124" i="56"/>
  <c r="AM119" i="56"/>
  <c r="AM130" i="56"/>
  <c r="AM140" i="56"/>
  <c r="AM125" i="56"/>
  <c r="AG17" i="56"/>
  <c r="AH17" i="56" s="1"/>
  <c r="AM131" i="56"/>
  <c r="AM141" i="56"/>
  <c r="V18" i="56"/>
  <c r="AM126" i="56"/>
  <c r="W18" i="56"/>
  <c r="AM137" i="56"/>
  <c r="F18" i="56"/>
  <c r="Z18" i="56"/>
  <c r="AM132" i="56"/>
  <c r="G18" i="56"/>
  <c r="AA18" i="56"/>
  <c r="AM117" i="56"/>
  <c r="AM127" i="56"/>
  <c r="H18" i="56"/>
  <c r="AB18" i="56"/>
  <c r="AM138" i="56"/>
  <c r="I18" i="56"/>
  <c r="AC18" i="56"/>
  <c r="AM123" i="56"/>
  <c r="AM133" i="56"/>
  <c r="L18" i="56"/>
  <c r="AD18" i="56"/>
  <c r="AM118" i="56"/>
  <c r="AM120" i="56"/>
  <c r="U18" i="56"/>
  <c r="AM116" i="56"/>
  <c r="AG15" i="56" l="1"/>
  <c r="E18" i="56"/>
  <c r="AK15" i="56"/>
  <c r="AI15" i="56"/>
  <c r="AM144" i="56"/>
  <c r="AG18" i="56" l="1"/>
  <c r="AH15" i="56"/>
  <c r="AH18" i="56" s="1"/>
  <c r="AJ15" i="56"/>
  <c r="AJ18" i="56" s="1"/>
  <c r="AI18" i="56"/>
  <c r="AK18" i="56"/>
  <c r="AL15" i="56"/>
  <c r="AL18" i="56" s="1"/>
  <c r="AL145" i="55" l="1"/>
  <c r="AP144" i="55"/>
  <c r="AO144" i="55"/>
  <c r="AP143" i="55"/>
  <c r="AO143" i="55"/>
  <c r="AP142" i="55"/>
  <c r="AO142" i="55"/>
  <c r="AP141" i="55"/>
  <c r="AO141" i="55"/>
  <c r="AP140" i="55"/>
  <c r="AO140" i="55"/>
  <c r="AP139" i="55"/>
  <c r="AO139" i="55"/>
  <c r="AP138" i="55"/>
  <c r="AO138" i="55"/>
  <c r="AP137" i="55"/>
  <c r="AO137" i="55"/>
  <c r="AP136" i="55"/>
  <c r="AO136" i="55"/>
  <c r="AP135" i="55"/>
  <c r="AO135" i="55"/>
  <c r="AP134" i="55"/>
  <c r="AO134" i="55"/>
  <c r="AP133" i="55"/>
  <c r="AO133" i="55"/>
  <c r="AP132" i="55"/>
  <c r="AO132" i="55"/>
  <c r="AP131" i="55"/>
  <c r="AO131" i="55"/>
  <c r="AM131" i="55"/>
  <c r="AP130" i="55"/>
  <c r="AO130" i="55"/>
  <c r="AM130" i="55"/>
  <c r="AP129" i="55"/>
  <c r="AO129" i="55"/>
  <c r="AM129" i="55"/>
  <c r="AP128" i="55"/>
  <c r="AO128" i="55"/>
  <c r="AM128" i="55"/>
  <c r="AP127" i="55"/>
  <c r="AO127" i="55"/>
  <c r="AP126" i="55"/>
  <c r="AO126" i="55"/>
  <c r="AP125" i="55"/>
  <c r="AO125" i="55"/>
  <c r="AP124" i="55"/>
  <c r="AO124" i="55"/>
  <c r="AP123" i="55"/>
  <c r="AO123" i="55"/>
  <c r="AP122" i="55"/>
  <c r="AO122" i="55"/>
  <c r="AP121" i="55"/>
  <c r="AO121" i="55"/>
  <c r="AP120" i="55"/>
  <c r="AO120" i="55"/>
  <c r="AP119" i="55"/>
  <c r="AO119" i="55"/>
  <c r="AP118" i="55"/>
  <c r="AO118" i="55"/>
  <c r="AP117" i="55"/>
  <c r="AO117" i="55"/>
  <c r="AP116" i="55"/>
  <c r="AO116" i="55"/>
  <c r="AP115" i="55"/>
  <c r="AO115" i="55"/>
  <c r="H71" i="55"/>
  <c r="F71" i="55"/>
  <c r="D71" i="55"/>
  <c r="B71" i="55"/>
  <c r="E69" i="55"/>
  <c r="AE17" i="55"/>
  <c r="AD17" i="55"/>
  <c r="AC17" i="55"/>
  <c r="AB17" i="55"/>
  <c r="Y17" i="55"/>
  <c r="X17" i="55"/>
  <c r="W17" i="55"/>
  <c r="V17" i="55"/>
  <c r="U17" i="55"/>
  <c r="J17" i="55"/>
  <c r="I17" i="55"/>
  <c r="H17" i="55"/>
  <c r="G17" i="55"/>
  <c r="D17" i="55"/>
  <c r="C17" i="55"/>
  <c r="B17" i="55"/>
  <c r="B16" i="55" a="1"/>
  <c r="AP145" i="54"/>
  <c r="AO145" i="54"/>
  <c r="AP144" i="54"/>
  <c r="AO144" i="54"/>
  <c r="AP143" i="54"/>
  <c r="AO143" i="54"/>
  <c r="AP142" i="54"/>
  <c r="AO142" i="54"/>
  <c r="AF17" i="54"/>
  <c r="AE17" i="54"/>
  <c r="AB17" i="54"/>
  <c r="AA17" i="54"/>
  <c r="Z17" i="54"/>
  <c r="Y17" i="54"/>
  <c r="X17" i="54"/>
  <c r="U17" i="54"/>
  <c r="T17" i="54"/>
  <c r="S17" i="54"/>
  <c r="R17" i="54"/>
  <c r="Q17" i="54"/>
  <c r="N17" i="54"/>
  <c r="M17" i="54"/>
  <c r="L17" i="54"/>
  <c r="K17" i="54"/>
  <c r="J17" i="54"/>
  <c r="G17" i="54"/>
  <c r="F17" i="54"/>
  <c r="E17" i="54"/>
  <c r="D17" i="54"/>
  <c r="C17" i="54"/>
  <c r="AL146" i="54"/>
  <c r="AP141" i="54"/>
  <c r="AO141" i="54"/>
  <c r="AP140" i="54"/>
  <c r="AO140" i="54"/>
  <c r="AP139" i="54"/>
  <c r="AO139" i="54"/>
  <c r="AP138" i="54"/>
  <c r="AO138" i="54"/>
  <c r="AP137" i="54"/>
  <c r="AO137" i="54"/>
  <c r="AP136" i="54"/>
  <c r="AO136" i="54"/>
  <c r="AP135" i="54"/>
  <c r="AO135" i="54"/>
  <c r="AP134" i="54"/>
  <c r="AO134" i="54"/>
  <c r="AP133" i="54"/>
  <c r="AO133" i="54"/>
  <c r="AP132" i="54"/>
  <c r="AO132" i="54"/>
  <c r="AP131" i="54"/>
  <c r="AO131" i="54"/>
  <c r="AP130" i="54"/>
  <c r="AO130" i="54"/>
  <c r="AP129" i="54"/>
  <c r="AO129" i="54"/>
  <c r="AP128" i="54"/>
  <c r="AO128" i="54"/>
  <c r="AP127" i="54"/>
  <c r="AO127" i="54"/>
  <c r="AP126" i="54"/>
  <c r="AO126" i="54"/>
  <c r="AP125" i="54"/>
  <c r="AO125" i="54"/>
  <c r="AP124" i="54"/>
  <c r="AO124" i="54"/>
  <c r="AP123" i="54"/>
  <c r="AO123" i="54"/>
  <c r="AP122" i="54"/>
  <c r="AO122" i="54"/>
  <c r="AP121" i="54"/>
  <c r="AO121" i="54"/>
  <c r="AP120" i="54"/>
  <c r="AO120" i="54"/>
  <c r="AP119" i="54"/>
  <c r="AO119" i="54"/>
  <c r="AP118" i="54"/>
  <c r="AO118" i="54"/>
  <c r="AP117" i="54"/>
  <c r="AO117" i="54"/>
  <c r="AP116" i="54"/>
  <c r="AO116" i="54"/>
  <c r="AP115" i="54"/>
  <c r="AO115" i="54"/>
  <c r="H71" i="54"/>
  <c r="F71" i="54"/>
  <c r="D71" i="54"/>
  <c r="B71" i="54"/>
  <c r="E69" i="54"/>
  <c r="B16" i="54" a="1"/>
  <c r="AP121" i="53"/>
  <c r="AO121" i="53"/>
  <c r="AP139" i="53"/>
  <c r="AO139" i="53"/>
  <c r="R17" i="53"/>
  <c r="S17" i="53"/>
  <c r="T17" i="53"/>
  <c r="U17" i="53"/>
  <c r="X17" i="53"/>
  <c r="Y17" i="53"/>
  <c r="Z17" i="53"/>
  <c r="AA17" i="53"/>
  <c r="AB17" i="53"/>
  <c r="C17" i="53"/>
  <c r="D17" i="53"/>
  <c r="E17" i="53"/>
  <c r="F17" i="53"/>
  <c r="G17" i="53"/>
  <c r="J17" i="53"/>
  <c r="K17" i="53"/>
  <c r="L17" i="53"/>
  <c r="M17" i="53"/>
  <c r="B16" i="53" a="1"/>
  <c r="AO112" i="53"/>
  <c r="AM121" i="53" s="1"/>
  <c r="AP112" i="53"/>
  <c r="AO113" i="53"/>
  <c r="AP113" i="53"/>
  <c r="AO114" i="53"/>
  <c r="AP114" i="53"/>
  <c r="AO115" i="53"/>
  <c r="AP115" i="53"/>
  <c r="AO116" i="53"/>
  <c r="AP116" i="53"/>
  <c r="AO117" i="53"/>
  <c r="AP117" i="53"/>
  <c r="AO118" i="53"/>
  <c r="AP118" i="53"/>
  <c r="AO119" i="53"/>
  <c r="AP119" i="53"/>
  <c r="AO120" i="53"/>
  <c r="AP120" i="53"/>
  <c r="AO122" i="53"/>
  <c r="AP122" i="53"/>
  <c r="AO123" i="53"/>
  <c r="AP123" i="53"/>
  <c r="AO124" i="53"/>
  <c r="AP124" i="53"/>
  <c r="AO125" i="53"/>
  <c r="AP125" i="53"/>
  <c r="AO126" i="53"/>
  <c r="AP126" i="53"/>
  <c r="AO127" i="53"/>
  <c r="AP127" i="53"/>
  <c r="AO128" i="53"/>
  <c r="AP128" i="53"/>
  <c r="AO129" i="53"/>
  <c r="AP129" i="53"/>
  <c r="AO130" i="53"/>
  <c r="AP130" i="53"/>
  <c r="AO131" i="53"/>
  <c r="AP131" i="53"/>
  <c r="AO132" i="53"/>
  <c r="AP132" i="53"/>
  <c r="AO133" i="53"/>
  <c r="AP133" i="53"/>
  <c r="AO134" i="53"/>
  <c r="AP134" i="53"/>
  <c r="AO135" i="53"/>
  <c r="AP135" i="53"/>
  <c r="AO136" i="53"/>
  <c r="AP136" i="53"/>
  <c r="AO137" i="53"/>
  <c r="AP137" i="53"/>
  <c r="AO138" i="53"/>
  <c r="AP138" i="53"/>
  <c r="AO140" i="53"/>
  <c r="AP140" i="53"/>
  <c r="AO141" i="53"/>
  <c r="AP141" i="53"/>
  <c r="AL142" i="53"/>
  <c r="E66" i="53"/>
  <c r="B68" i="53"/>
  <c r="D68" i="53"/>
  <c r="F68" i="53"/>
  <c r="H68" i="53"/>
  <c r="AL147" i="52"/>
  <c r="AP136" i="52"/>
  <c r="AP135" i="52"/>
  <c r="AO135" i="52"/>
  <c r="AM123" i="52"/>
  <c r="AM122" i="52"/>
  <c r="AM119" i="52"/>
  <c r="AE17" i="52"/>
  <c r="AD17" i="52"/>
  <c r="AC17" i="52"/>
  <c r="AB17" i="52"/>
  <c r="AA17" i="52"/>
  <c r="X17" i="52"/>
  <c r="W17" i="52"/>
  <c r="V17" i="52"/>
  <c r="U17" i="52"/>
  <c r="T17" i="52"/>
  <c r="Q17" i="52"/>
  <c r="P17" i="52"/>
  <c r="O17" i="52"/>
  <c r="N17" i="52"/>
  <c r="M17" i="52"/>
  <c r="AP146" i="52"/>
  <c r="AO146" i="52"/>
  <c r="AP145" i="52"/>
  <c r="AO145" i="52"/>
  <c r="AP144" i="52"/>
  <c r="AO144" i="52"/>
  <c r="AP143" i="52"/>
  <c r="AO143" i="52"/>
  <c r="AP142" i="52"/>
  <c r="AO142" i="52"/>
  <c r="AP141" i="52"/>
  <c r="AO141" i="52"/>
  <c r="AP140" i="52"/>
  <c r="AO140" i="52"/>
  <c r="AP139" i="52"/>
  <c r="AO139" i="52"/>
  <c r="AP138" i="52"/>
  <c r="AO138" i="52"/>
  <c r="AP137" i="52"/>
  <c r="AO137" i="52"/>
  <c r="AO136" i="52"/>
  <c r="AP134" i="52"/>
  <c r="AO134" i="52"/>
  <c r="AP133" i="52"/>
  <c r="AO133" i="52"/>
  <c r="AP132" i="52"/>
  <c r="AO132" i="52"/>
  <c r="AP131" i="52"/>
  <c r="AO131" i="52"/>
  <c r="AP130" i="52"/>
  <c r="AO130" i="52"/>
  <c r="AP129" i="52"/>
  <c r="AO129" i="52"/>
  <c r="AP128" i="52"/>
  <c r="AO128" i="52"/>
  <c r="AP127" i="52"/>
  <c r="AO127" i="52"/>
  <c r="AP126" i="52"/>
  <c r="AO126" i="52"/>
  <c r="AP125" i="52"/>
  <c r="AO125" i="52"/>
  <c r="AP124" i="52"/>
  <c r="AO124" i="52"/>
  <c r="AP123" i="52"/>
  <c r="AO123" i="52"/>
  <c r="AP122" i="52"/>
  <c r="AO122" i="52"/>
  <c r="AP121" i="52"/>
  <c r="AO121" i="52"/>
  <c r="AP120" i="52"/>
  <c r="AO120" i="52"/>
  <c r="AP119" i="52"/>
  <c r="AO119" i="52"/>
  <c r="AP118" i="52"/>
  <c r="AO118" i="52"/>
  <c r="AP117" i="52"/>
  <c r="AO117" i="52"/>
  <c r="AP116" i="52"/>
  <c r="AO116" i="52"/>
  <c r="AP115" i="52"/>
  <c r="AO115" i="52"/>
  <c r="H71" i="52"/>
  <c r="F71" i="52"/>
  <c r="D71" i="52"/>
  <c r="B71" i="52"/>
  <c r="E69" i="52"/>
  <c r="B16" i="52" a="1"/>
  <c r="J18" i="52" s="1"/>
  <c r="AM123" i="55" l="1"/>
  <c r="AM135" i="55"/>
  <c r="AK17" i="55"/>
  <c r="AL17" i="55" s="1"/>
  <c r="AG17" i="55"/>
  <c r="AH17" i="55" s="1"/>
  <c r="U15" i="55"/>
  <c r="U18" i="55" s="1"/>
  <c r="AI17" i="55"/>
  <c r="AJ17" i="55" s="1"/>
  <c r="V15" i="55"/>
  <c r="V18" i="55" s="1"/>
  <c r="AM141" i="55"/>
  <c r="AM120" i="55"/>
  <c r="AM136" i="55"/>
  <c r="AC15" i="55"/>
  <c r="AC18" i="55" s="1"/>
  <c r="AM115" i="55"/>
  <c r="AD15" i="55"/>
  <c r="AD18" i="55" s="1"/>
  <c r="C15" i="55"/>
  <c r="C18" i="55" s="1"/>
  <c r="AE15" i="55"/>
  <c r="AE18" i="55" s="1"/>
  <c r="AM121" i="55"/>
  <c r="AM137" i="55"/>
  <c r="D15" i="55"/>
  <c r="D18" i="55" s="1"/>
  <c r="AM143" i="55"/>
  <c r="H15" i="55"/>
  <c r="H18" i="55" s="1"/>
  <c r="P18" i="55"/>
  <c r="AM122" i="55"/>
  <c r="AM138" i="55"/>
  <c r="B16" i="55"/>
  <c r="Y15" i="55"/>
  <c r="Y18" i="55" s="1"/>
  <c r="AM142" i="55"/>
  <c r="AM116" i="55"/>
  <c r="G15" i="55"/>
  <c r="G18" i="55" s="1"/>
  <c r="O18" i="55"/>
  <c r="I15" i="55"/>
  <c r="I18" i="55" s="1"/>
  <c r="Q18" i="55"/>
  <c r="AM117" i="55"/>
  <c r="W15" i="55"/>
  <c r="W18" i="55" s="1"/>
  <c r="X15" i="55"/>
  <c r="X18" i="55" s="1"/>
  <c r="AB15" i="55"/>
  <c r="AB18" i="55" s="1"/>
  <c r="J15" i="55"/>
  <c r="J18" i="55" s="1"/>
  <c r="R18" i="55"/>
  <c r="AM134" i="55"/>
  <c r="AM144" i="55"/>
  <c r="AE15" i="54"/>
  <c r="AE18" i="54" s="1"/>
  <c r="AF15" i="54"/>
  <c r="AF18" i="54" s="1"/>
  <c r="AM144" i="54"/>
  <c r="AM145" i="54"/>
  <c r="AM127" i="54"/>
  <c r="AK17" i="54"/>
  <c r="AL17" i="54" s="1"/>
  <c r="AM119" i="54"/>
  <c r="AM130" i="54"/>
  <c r="Y15" i="54"/>
  <c r="Y18" i="54" s="1"/>
  <c r="AM134" i="54"/>
  <c r="J15" i="54"/>
  <c r="J18" i="54" s="1"/>
  <c r="K15" i="54"/>
  <c r="K18" i="54" s="1"/>
  <c r="L15" i="54"/>
  <c r="L18" i="54" s="1"/>
  <c r="M15" i="54"/>
  <c r="M18" i="54" s="1"/>
  <c r="N15" i="54"/>
  <c r="N18" i="54" s="1"/>
  <c r="T15" i="54"/>
  <c r="T18" i="54" s="1"/>
  <c r="Q15" i="54"/>
  <c r="Q18" i="54" s="1"/>
  <c r="R15" i="54"/>
  <c r="R18" i="54" s="1"/>
  <c r="S15" i="54"/>
  <c r="S18" i="54" s="1"/>
  <c r="U15" i="54"/>
  <c r="U18" i="54" s="1"/>
  <c r="Z15" i="54"/>
  <c r="Z18" i="54" s="1"/>
  <c r="F15" i="54"/>
  <c r="F18" i="54" s="1"/>
  <c r="AB15" i="54"/>
  <c r="AB18" i="54" s="1"/>
  <c r="AM120" i="54"/>
  <c r="D15" i="54"/>
  <c r="D18" i="54" s="1"/>
  <c r="E15" i="54"/>
  <c r="E18" i="54" s="1"/>
  <c r="AA15" i="54"/>
  <c r="AA18" i="54" s="1"/>
  <c r="G15" i="54"/>
  <c r="G18" i="54" s="1"/>
  <c r="AM140" i="54"/>
  <c r="AM116" i="54"/>
  <c r="AM125" i="54"/>
  <c r="AM131" i="54"/>
  <c r="AG17" i="54"/>
  <c r="AH17" i="54" s="1"/>
  <c r="AM117" i="54"/>
  <c r="AM126" i="54"/>
  <c r="AM137" i="54"/>
  <c r="AI17" i="54"/>
  <c r="AJ17" i="54" s="1"/>
  <c r="AM123" i="54"/>
  <c r="AM132" i="54"/>
  <c r="AM141" i="54"/>
  <c r="B16" i="54"/>
  <c r="AM118" i="54"/>
  <c r="AM138" i="54"/>
  <c r="AM133" i="54"/>
  <c r="X15" i="54"/>
  <c r="X18" i="54" s="1"/>
  <c r="C15" i="54"/>
  <c r="AM139" i="54"/>
  <c r="AM124" i="54"/>
  <c r="AM139" i="53"/>
  <c r="AM135" i="52"/>
  <c r="AM145" i="52"/>
  <c r="AM117" i="53"/>
  <c r="AI17" i="53"/>
  <c r="AJ17" i="53" s="1"/>
  <c r="AM135" i="53"/>
  <c r="AM116" i="53"/>
  <c r="AM125" i="53"/>
  <c r="AM115" i="53"/>
  <c r="AM132" i="53"/>
  <c r="AM124" i="53"/>
  <c r="AM114" i="53"/>
  <c r="AM140" i="53"/>
  <c r="AM131" i="53"/>
  <c r="AM123" i="53"/>
  <c r="AM113" i="53"/>
  <c r="AM138" i="53"/>
  <c r="AM130" i="53"/>
  <c r="AM122" i="53"/>
  <c r="AM137" i="53"/>
  <c r="AM129" i="53"/>
  <c r="AM120" i="53"/>
  <c r="AM136" i="53"/>
  <c r="AM128" i="53"/>
  <c r="B16" i="53"/>
  <c r="AG16" i="53" s="1"/>
  <c r="AH16" i="53" s="1"/>
  <c r="T15" i="53"/>
  <c r="T18" i="53" s="1"/>
  <c r="E15" i="53"/>
  <c r="E18" i="53" s="1"/>
  <c r="X15" i="53"/>
  <c r="X18" i="53" s="1"/>
  <c r="F15" i="53"/>
  <c r="F18" i="53" s="1"/>
  <c r="Y15" i="53"/>
  <c r="Y18" i="53" s="1"/>
  <c r="G15" i="53"/>
  <c r="G18" i="53" s="1"/>
  <c r="Z15" i="53"/>
  <c r="Z18" i="53" s="1"/>
  <c r="J15" i="53"/>
  <c r="J18" i="53" s="1"/>
  <c r="N18" i="53"/>
  <c r="AA15" i="53"/>
  <c r="AA18" i="53" s="1"/>
  <c r="K15" i="53"/>
  <c r="K18" i="53" s="1"/>
  <c r="Q18" i="53"/>
  <c r="AB15" i="53"/>
  <c r="AB18" i="53" s="1"/>
  <c r="L15" i="53"/>
  <c r="L18" i="53" s="1"/>
  <c r="R15" i="53"/>
  <c r="R18" i="53" s="1"/>
  <c r="C15" i="53"/>
  <c r="C18" i="53" s="1"/>
  <c r="D15" i="53"/>
  <c r="D18" i="53" s="1"/>
  <c r="S15" i="53"/>
  <c r="S18" i="53" s="1"/>
  <c r="U15" i="53"/>
  <c r="U18" i="53" s="1"/>
  <c r="AG17" i="53"/>
  <c r="AH17" i="53" s="1"/>
  <c r="M15" i="53"/>
  <c r="AK17" i="53"/>
  <c r="AL17" i="53" s="1"/>
  <c r="N15" i="52"/>
  <c r="N18" i="52" s="1"/>
  <c r="X15" i="52"/>
  <c r="X18" i="52" s="1"/>
  <c r="AM136" i="52"/>
  <c r="O15" i="52"/>
  <c r="O18" i="52" s="1"/>
  <c r="AA15" i="52"/>
  <c r="AA18" i="52" s="1"/>
  <c r="AM126" i="52"/>
  <c r="AM137" i="52"/>
  <c r="P15" i="52"/>
  <c r="P18" i="52" s="1"/>
  <c r="AB15" i="52"/>
  <c r="AB18" i="52" s="1"/>
  <c r="AM127" i="52"/>
  <c r="AM138" i="52"/>
  <c r="Q15" i="52"/>
  <c r="Q18" i="52" s="1"/>
  <c r="AC15" i="52"/>
  <c r="AC18" i="52" s="1"/>
  <c r="AM128" i="52"/>
  <c r="AM141" i="52"/>
  <c r="F18" i="52"/>
  <c r="T15" i="52"/>
  <c r="T18" i="52" s="1"/>
  <c r="AD15" i="52"/>
  <c r="AD18" i="52" s="1"/>
  <c r="AM129" i="52"/>
  <c r="AM142" i="52"/>
  <c r="I18" i="52"/>
  <c r="U15" i="52"/>
  <c r="U18" i="52" s="1"/>
  <c r="AE15" i="52"/>
  <c r="AE18" i="52" s="1"/>
  <c r="AM130" i="52"/>
  <c r="AM143" i="52"/>
  <c r="V15" i="52"/>
  <c r="V18" i="52" s="1"/>
  <c r="AM133" i="52"/>
  <c r="AM144" i="52"/>
  <c r="M15" i="52"/>
  <c r="M18" i="52" s="1"/>
  <c r="W15" i="52"/>
  <c r="W18" i="52" s="1"/>
  <c r="AM134" i="52"/>
  <c r="AI17" i="52"/>
  <c r="AJ17" i="52" s="1"/>
  <c r="AK17" i="52"/>
  <c r="AL17" i="52" s="1"/>
  <c r="B16" i="52"/>
  <c r="AG17" i="52"/>
  <c r="AH17" i="52" s="1"/>
  <c r="AM145" i="55" l="1"/>
  <c r="AG16" i="55"/>
  <c r="AH16" i="55" s="1"/>
  <c r="AK16" i="55"/>
  <c r="AL16" i="55" s="1"/>
  <c r="B15" i="55"/>
  <c r="AI16" i="55"/>
  <c r="AJ16" i="55" s="1"/>
  <c r="AM146" i="54"/>
  <c r="C18" i="54"/>
  <c r="AK15" i="54"/>
  <c r="AI15" i="54"/>
  <c r="AG15" i="54"/>
  <c r="AI16" i="54"/>
  <c r="AJ16" i="54" s="1"/>
  <c r="AG16" i="54"/>
  <c r="AH16" i="54" s="1"/>
  <c r="AK16" i="54"/>
  <c r="AL16" i="54" s="1"/>
  <c r="AK16" i="53"/>
  <c r="AL16" i="53" s="1"/>
  <c r="AI16" i="53"/>
  <c r="AJ16" i="53" s="1"/>
  <c r="AM142" i="53"/>
  <c r="M18" i="53"/>
  <c r="AG15" i="53"/>
  <c r="AI15" i="53"/>
  <c r="AK15" i="53"/>
  <c r="AM147" i="52"/>
  <c r="AG15" i="52"/>
  <c r="AK15" i="52"/>
  <c r="AI15" i="52"/>
  <c r="AK16" i="52"/>
  <c r="AL16" i="52" s="1"/>
  <c r="AI16" i="52"/>
  <c r="AJ16" i="52" s="1"/>
  <c r="AG16" i="52"/>
  <c r="AH16" i="52" s="1"/>
  <c r="AK15" i="55" l="1"/>
  <c r="B18" i="55"/>
  <c r="AI15" i="55"/>
  <c r="AG15" i="55"/>
  <c r="AI18" i="54"/>
  <c r="AJ15" i="54"/>
  <c r="AJ18" i="54" s="1"/>
  <c r="AH15" i="54"/>
  <c r="AH18" i="54" s="1"/>
  <c r="AG18" i="54"/>
  <c r="AK18" i="54"/>
  <c r="AL15" i="54"/>
  <c r="AL18" i="54" s="1"/>
  <c r="AI18" i="53"/>
  <c r="AJ15" i="53"/>
  <c r="AJ18" i="53" s="1"/>
  <c r="AL15" i="53"/>
  <c r="AL18" i="53" s="1"/>
  <c r="AK18" i="53"/>
  <c r="AH15" i="53"/>
  <c r="AH18" i="53" s="1"/>
  <c r="AG18" i="53"/>
  <c r="AG18" i="52"/>
  <c r="AH15" i="52"/>
  <c r="AH18" i="52" s="1"/>
  <c r="AI18" i="52"/>
  <c r="AJ15" i="52"/>
  <c r="AJ18" i="52" s="1"/>
  <c r="AL15" i="52"/>
  <c r="AL18" i="52" s="1"/>
  <c r="AK18" i="52"/>
  <c r="AH15" i="55" l="1"/>
  <c r="AH18" i="55" s="1"/>
  <c r="AG18" i="55"/>
  <c r="AJ15" i="55"/>
  <c r="AJ18" i="55" s="1"/>
  <c r="AI18" i="55"/>
  <c r="AL15" i="55"/>
  <c r="AL18" i="55" s="1"/>
  <c r="AK18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Roxana Ivanov</author>
  </authors>
  <commentList>
    <comment ref="D1" authorId="0" shapeId="0" xr:uid="{895D4D5C-C1AE-484F-B5E3-741071723136}">
      <text>
        <r>
          <rPr>
            <sz val="9"/>
            <color indexed="81"/>
            <rFont val="Segoe UI"/>
            <family val="2"/>
          </rPr>
          <t>Se selecteaza tipul de livrabil din drop down list</t>
        </r>
        <r>
          <rPr>
            <sz val="9"/>
            <color indexed="81"/>
            <rFont val="Segoe UI"/>
            <family val="2"/>
          </rPr>
          <t xml:space="preserve">
NU se completeaza daca nu exista livrabil asociat activitatii (exp. intalnire pentru care avem doar MOM si poze)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<sst xmlns="http://schemas.openxmlformats.org/spreadsheetml/2006/main" count="1190" uniqueCount="222">
  <si>
    <t xml:space="preserve">National holidays = </t>
  </si>
  <si>
    <t xml:space="preserve">Weekend = </t>
  </si>
  <si>
    <t xml:space="preserve">Delegation = </t>
  </si>
  <si>
    <t>DE</t>
  </si>
  <si>
    <t xml:space="preserve">Annual Leave = </t>
  </si>
  <si>
    <t>CO</t>
  </si>
  <si>
    <t xml:space="preserve">Medical Leave = </t>
  </si>
  <si>
    <t>CM</t>
  </si>
  <si>
    <t>Delegatie proiecte =</t>
  </si>
  <si>
    <t>Timesheet  
Name: Andreea Cojocaru
Position: Public Affairs Specialist</t>
  </si>
  <si>
    <t>Organisation: Concordia Employers Confederation</t>
  </si>
  <si>
    <t>JANUARY 2026 - 144 working hours</t>
  </si>
  <si>
    <t>HOURS
TOTAL</t>
  </si>
  <si>
    <t>DAYS
TOTAL</t>
  </si>
  <si>
    <t>HOURS
CO</t>
  </si>
  <si>
    <t>DAYS
CO</t>
  </si>
  <si>
    <t>HOURS
CM</t>
  </si>
  <si>
    <t>DAYS
CM</t>
  </si>
  <si>
    <t>Date</t>
  </si>
  <si>
    <t>Day</t>
  </si>
  <si>
    <t>Thu</t>
  </si>
  <si>
    <t>Fri</t>
  </si>
  <si>
    <t>Sat</t>
  </si>
  <si>
    <t>Sun</t>
  </si>
  <si>
    <t>Mon</t>
  </si>
  <si>
    <t>Tue</t>
  </si>
  <si>
    <t>Wed</t>
  </si>
  <si>
    <t>CONCORDIA</t>
  </si>
  <si>
    <t>HOPE4AI - Communication Officer</t>
  </si>
  <si>
    <t>PEO_Expert Afaceri Publice 2</t>
  </si>
  <si>
    <t>TOTAL</t>
  </si>
  <si>
    <t xml:space="preserve">Signed: </t>
  </si>
  <si>
    <t>_________________________</t>
  </si>
  <si>
    <t>Date:</t>
  </si>
  <si>
    <t>Approved:</t>
  </si>
  <si>
    <t>Name:</t>
  </si>
  <si>
    <t>Position:</t>
  </si>
  <si>
    <t>HOPE4AI</t>
  </si>
  <si>
    <t>P4 - HOPE4AI</t>
  </si>
  <si>
    <t>Name &amp; Project Role: Andreea Cojocaru, Communication Officer</t>
  </si>
  <si>
    <t>Reporting Month: January 2026</t>
  </si>
  <si>
    <t>DATE</t>
  </si>
  <si>
    <t>WP</t>
  </si>
  <si>
    <r>
      <t>N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. h P4</t>
    </r>
  </si>
  <si>
    <t>TASK NAME</t>
  </si>
  <si>
    <t>RELEVANT DELIVERABLE</t>
  </si>
  <si>
    <t>WP3</t>
  </si>
  <si>
    <t>Review draft TechSurvey report</t>
  </si>
  <si>
    <t>WP4</t>
  </si>
  <si>
    <t xml:space="preserve">Debrief on internal meeting conclusions on Brussels event </t>
  </si>
  <si>
    <t>Review concept &amp; agenda for the Hope4AI event in Brussels</t>
  </si>
  <si>
    <t>Draft comm plan for Brussels event</t>
  </si>
  <si>
    <t>Review finalTechSurvey report</t>
  </si>
  <si>
    <r>
      <t>TOTAL N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. HOURS P4</t>
    </r>
  </si>
  <si>
    <t>TOTAL HOURS WP</t>
  </si>
  <si>
    <t>WP1</t>
  </si>
  <si>
    <t>WP2</t>
  </si>
  <si>
    <t>Numele şi prenumele expertului</t>
  </si>
  <si>
    <t>ANDREEA COJOCARU</t>
  </si>
  <si>
    <t>Poziția în proiect</t>
  </si>
  <si>
    <t>Expert afaceri publice 2</t>
  </si>
  <si>
    <t>Categoria expertului</t>
  </si>
  <si>
    <t>&lt; 5 ANI</t>
  </si>
  <si>
    <t>Denumire Beneficiar (Lider de parteneriat)/Partener</t>
  </si>
  <si>
    <t xml:space="preserve">CONFEDERATIA PATRONALA CONCORDIA </t>
  </si>
  <si>
    <t>Cod / titlu proiect 1:</t>
  </si>
  <si>
    <t>Consolidarea capacității Concordia pentru dialog social - Cod Proiect: 302141</t>
  </si>
  <si>
    <t>Ziua</t>
  </si>
  <si>
    <t>Nr. activit</t>
  </si>
  <si>
    <t>Subactivitate</t>
  </si>
  <si>
    <t>Rata orara</t>
  </si>
  <si>
    <t>ORE PEO</t>
  </si>
  <si>
    <t>ALTE ACTIVITATI</t>
  </si>
  <si>
    <t>DESCRIERE ACTIVITATE</t>
  </si>
  <si>
    <t>ZIUA</t>
  </si>
  <si>
    <t>SUBACTIVITATE</t>
  </si>
  <si>
    <t>LIVRABIL COMUN (DA/NU)</t>
  </si>
  <si>
    <t xml:space="preserve">EXPERTI </t>
  </si>
  <si>
    <t>STADIU LIVRABIL (in realizare/finalizat)</t>
  </si>
  <si>
    <t>RAPORT PRELIMINAR/MOM</t>
  </si>
  <si>
    <t>CATEGORIE LIVRABIL 1</t>
  </si>
  <si>
    <t>LIVRABIL 1</t>
  </si>
  <si>
    <t>CATEGORIE LIVRABIL 2</t>
  </si>
  <si>
    <t>LIVRABIL 2</t>
  </si>
  <si>
    <t>CATEGORIE LIVRABIL 3</t>
  </si>
  <si>
    <t>LIVRABIL 3</t>
  </si>
  <si>
    <t>LINK/DOC STUDIAT</t>
  </si>
  <si>
    <t>ANEXE</t>
  </si>
  <si>
    <t>A3</t>
  </si>
  <si>
    <t>SA3.4. Dezvoltarea si derularea de activitati si servicii suport și informare pentru membri</t>
  </si>
  <si>
    <t xml:space="preserve">Analiză proiecte de acte normative luna ianuarie și formulare observații </t>
  </si>
  <si>
    <t>Nu</t>
  </si>
  <si>
    <t>Elaborare document de poziție OUG investiții străine</t>
  </si>
  <si>
    <t>Document de poziție OUG investiții străine</t>
  </si>
  <si>
    <t>SA3.5. Schimb de bune practici la nivel European</t>
  </si>
  <si>
    <t>Elaborare document de feedback pe Automotive package</t>
  </si>
  <si>
    <t>Document Automotive Package</t>
  </si>
  <si>
    <t>În realizare_Analiză și observații acte normative luna ianuarie</t>
  </si>
  <si>
    <t>STATUS PEO</t>
  </si>
  <si>
    <t>Da</t>
  </si>
  <si>
    <t>cpc</t>
  </si>
  <si>
    <t>MINUTA STATUS</t>
  </si>
  <si>
    <t>Pregătire participare lansare studiu suprapunere de atribuții</t>
  </si>
  <si>
    <t>Analiză și observații acte normative luna ianuarie</t>
  </si>
  <si>
    <t>Pregătire participare lansare studiu CES</t>
  </si>
  <si>
    <t>Pregătire consultare CESE Semestrul European</t>
  </si>
  <si>
    <t>Document de pregătire consultare CESE Semestrul European</t>
  </si>
  <si>
    <t>Notă informativă</t>
  </si>
  <si>
    <t>Chestionar</t>
  </si>
  <si>
    <t>Raport de activitate</t>
  </si>
  <si>
    <t>NR. TOTAL DE ORE</t>
  </si>
  <si>
    <t>Subsemnatul declar, sub sancțiunea Codului penal privind falsul în declaraţii și a returnării sumelor încasate, că informațiile furnizate sunt adevărate și corecte în fiecare detaliu și înțeleg că AM/OI/OIR are dreptul să-mi solicite documente doveditoare în scopul verificării și confirmării acestora.</t>
  </si>
  <si>
    <t>Numele expertului:</t>
  </si>
  <si>
    <t>Semnătură:</t>
  </si>
  <si>
    <t xml:space="preserve">Data: </t>
  </si>
  <si>
    <t>Numele managerului de proiect:</t>
  </si>
  <si>
    <t>MIHAELA GRIGORAS</t>
  </si>
  <si>
    <t>Data:</t>
  </si>
  <si>
    <t>FEBRUARY 2026 - 160 working hours</t>
  </si>
  <si>
    <t>Reporting Month: February 2026</t>
  </si>
  <si>
    <t>Debrief project logistics + internal coordination meeting</t>
  </si>
  <si>
    <t>Brussels Hope4AI event prep support</t>
  </si>
  <si>
    <t>Comms strategy for Brussels Hope 4AI event</t>
  </si>
  <si>
    <t>Logistics &amp; Comms strategy for Brussels Hope 4AI event</t>
  </si>
  <si>
    <t>Rezumat, analiză și observații proiecte de acte normative luna februarie</t>
  </si>
  <si>
    <t>in realizare</t>
  </si>
  <si>
    <t xml:space="preserve">Analiză standard de raportare voluntară a durabiltății pentru IMM-uri </t>
  </si>
  <si>
    <t>finalizat</t>
  </si>
  <si>
    <t xml:space="preserve">Analiză cu privire la standardul voluntar de raportare a durabilității pentru IMM-uri (VSME) la nivel UE </t>
  </si>
  <si>
    <t>Rezumat activități lunile decembrie-ianuarie</t>
  </si>
  <si>
    <t xml:space="preserve">Gabriel Z, Alexandra C </t>
  </si>
  <si>
    <t>RP: Rezumat activități lunile decembrie-ianuarie</t>
  </si>
  <si>
    <t>Concordia members updates - ianuarie 2026</t>
  </si>
  <si>
    <t>Consolidare propuneri proiect de lege cu privire la normele pentru reparațiile bunurilor</t>
  </si>
  <si>
    <t>PROPUNERI DE MODIFICARE PRIVIND LEGEA PRIVIND NORMELE COMUNE DE PROMOVARE A REPARĂRII BUNURILOR ȘI DE MODIFICARE A UNOR ACTE 
NORMATIVE ÎN DOMENIUL PROTECȚIEI CONSUMATORILOR</t>
  </si>
  <si>
    <t>A4</t>
  </si>
  <si>
    <t>Participare întâlnire roundtable federații</t>
  </si>
  <si>
    <t>Bianca T,Radu I, Liviu N, Gabriel Z,Nida H</t>
  </si>
  <si>
    <t xml:space="preserve">Ședință:  Pregatire intalnire cu federatiile membre ale CP Concordia pentru stabilirea prioritatilor legislative si de task force pentru 2026 </t>
  </si>
  <si>
    <t>PRIORITĂȚI DE POLICY – LISTĂ INTEGRALĂ PE FEDERAȚII</t>
  </si>
  <si>
    <t>Pregătire întâlnire #6 a Clubului Concordia - EPG</t>
  </si>
  <si>
    <t>Prezentare Club Cocordia-Energy Policy Group pentru Tranziție Energetică</t>
  </si>
  <si>
    <t>Invitație</t>
  </si>
  <si>
    <t xml:space="preserve">Pregătire Dashboard legislativ </t>
  </si>
  <si>
    <t>Ianoș_R, Zvîncă_G, Toma_B</t>
  </si>
  <si>
    <t xml:space="preserve"> Legislative Dashboard​ 2026</t>
  </si>
  <si>
    <t>Participare întâlnire #6 Club Concordia-EPG</t>
  </si>
  <si>
    <t>TABEL PARTICIPARE — 23.02.2026
TITLU: Cea de-a sasea intalnire a Clubului Concordia — EPG pentru Tranzitia Energetica
Tema dezbaterii/ evenimentului: captarea si stocarea carbonului — pregatirea pietei, tehnologie, finantare</t>
  </si>
  <si>
    <t xml:space="preserve">Analiză, rezumat și observații proiecte de acte normative luna februarie </t>
  </si>
  <si>
    <t>Analiză și rezumat Strategie pentru inslatarea infrastructurii pentru combustibilii alternativi</t>
  </si>
  <si>
    <t>A2</t>
  </si>
  <si>
    <t>Rezumat și analiză Strategie instalare infrastructură pentru combustibili alternativi</t>
  </si>
  <si>
    <t>MARCH 2026 - 176 working hours</t>
  </si>
  <si>
    <t>Reporting Month: March 2026</t>
  </si>
  <si>
    <t>Project logistics + internal coordinating meeting</t>
  </si>
  <si>
    <t>Technology providers report translation feedback</t>
  </si>
  <si>
    <t>Feedback on tech report promo video</t>
  </si>
  <si>
    <t>Brussels final event prep</t>
  </si>
  <si>
    <t>Support for the final event in Brussels</t>
  </si>
  <si>
    <t>Review of project materials for social media and website</t>
  </si>
  <si>
    <t>Preparing and disseminating materials related to Hope4AI for social media and website</t>
  </si>
  <si>
    <t>Feed</t>
  </si>
  <si>
    <t>Informarea membrilor grupului de lucru dedicat viitorului transporturilor cu privire la anumite dosare legislative de interes la nivel european</t>
  </si>
  <si>
    <t>Analiză, rezumat și observații pe marginea proiectelor de acte normative inițiate în luna martie</t>
  </si>
  <si>
    <t>b73</t>
  </si>
  <si>
    <t>Elaborare document feedback inspecții și autorizații</t>
  </si>
  <si>
    <t>Toma_B, Cojocaru_A</t>
  </si>
  <si>
    <t>Analiza Strategiei Naționale privind instalarea infrastructurii pentru combustibili alternativi și consolidare observații și propuneri</t>
  </si>
  <si>
    <t xml:space="preserve">Draft strategie </t>
  </si>
  <si>
    <t xml:space="preserve">Document feedback inspecții și autorizații </t>
  </si>
  <si>
    <t>Rezumat activități luna februarie</t>
  </si>
  <si>
    <t>Toma_B, Zvîncă_G, Ianoș_R, Cojocaru_A</t>
  </si>
  <si>
    <t>Concordia members updates februarie 2026</t>
  </si>
  <si>
    <t>Document cu privire la Licența Industrială Unică</t>
  </si>
  <si>
    <t>Analiză și rezumat Strategia Națională și Planul de Acțiune pentru Conservarea Biodiversității 2030</t>
  </si>
  <si>
    <t>Document de poziție proiect simplificare autorizații în domeniul construcțiilor</t>
  </si>
  <si>
    <t>Document de poziție proiect simplificare în domeniul construcțiilor</t>
  </si>
  <si>
    <t>Analiza Strategiei Naționale pentru combustibili alternativi și consolidare observații și propuneri</t>
  </si>
  <si>
    <t>Document de poziție cu privire la reciclarea textilelor</t>
  </si>
  <si>
    <t>Draft Document de poziție reciclarea textilelor</t>
  </si>
  <si>
    <t>APRIL 2026 - 160 working hours</t>
  </si>
  <si>
    <t>Reporting Month: April 2026</t>
  </si>
  <si>
    <t>Project logistics</t>
  </si>
  <si>
    <t>Updating website with project activities</t>
  </si>
  <si>
    <t>Management SoMe campaign</t>
  </si>
  <si>
    <t>Internal coordinating meeting for the preparation of the webinar; Preparations for the second national webinar</t>
  </si>
  <si>
    <t>Preparations for the second national webinar</t>
  </si>
  <si>
    <t>Analiză, rezumat și observații acte normative luna aprilie</t>
  </si>
  <si>
    <t>Rezumat activități luna martie</t>
  </si>
  <si>
    <t>Zvîncă_G, Toma_B, Ianoș_R</t>
  </si>
  <si>
    <t>Concordia members updates - martie 2026</t>
  </si>
  <si>
    <t>Pregătire punctaj întâlnire președinte ANPC</t>
  </si>
  <si>
    <t>Punctaj întâlnire președinte ANPC</t>
  </si>
  <si>
    <t>Analiză, rezumat și observații Strategia Națională pentru o mai bună reglementare și Planul de Acțiune</t>
  </si>
  <si>
    <t>Draft document de poziție reciclarea textilelor</t>
  </si>
  <si>
    <t>Draft 2_Document de poziție reciclarea textilelor</t>
  </si>
  <si>
    <t>Analiză, rezumat și observații Strategia Națională pentru o mai bună reglementare și PA</t>
  </si>
  <si>
    <t>Analiză și feedback AccelerateEU</t>
  </si>
  <si>
    <t>MAY 2026 - 160 working hours</t>
  </si>
  <si>
    <t>GW4ALL - Project Officer</t>
  </si>
  <si>
    <t>GOODWORKS4ALL</t>
  </si>
  <si>
    <t>P6-GW4ALL</t>
  </si>
  <si>
    <t>Name &amp; Project Role: Andreea Cojocaru, Project Officer</t>
  </si>
  <si>
    <t>Reporting Month: May 2026</t>
  </si>
  <si>
    <r>
      <t>N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. h P6</t>
    </r>
  </si>
  <si>
    <r>
      <t>TOTAL N</t>
    </r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>. HOURS P6</t>
    </r>
  </si>
  <si>
    <t xml:space="preserve">LIVRABIL COMUN </t>
  </si>
  <si>
    <t xml:space="preserve">STADIU LIVRABIL </t>
  </si>
  <si>
    <t xml:space="preserve">Tip LIVRABIL </t>
  </si>
  <si>
    <t>SA3.1. Măsuri de sprijin pentru îmbunătățirea managementului organizațional, a planificării strategice</t>
  </si>
  <si>
    <t>Studii</t>
  </si>
  <si>
    <t>SA3.2. Asigurarea infrastructurii necesare în vederea unei funcționări adecvate a structurilor reprezentative ale dialogului social pentru Confederația Patronala Concordia si membrii sai</t>
  </si>
  <si>
    <t>Analize</t>
  </si>
  <si>
    <t>Strategii</t>
  </si>
  <si>
    <t>Curricula</t>
  </si>
  <si>
    <t>Ghiduri</t>
  </si>
  <si>
    <t>Platforme</t>
  </si>
  <si>
    <t>Manuale</t>
  </si>
  <si>
    <t>Documente de poziție</t>
  </si>
  <si>
    <t>Informări</t>
  </si>
  <si>
    <t>Altele</t>
  </si>
  <si>
    <t>Sedintă PEO - Raportare - Optimizare procese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</si>
</sst>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18]d\ mmmm\ yyyy;@"/>
    <numFmt numFmtId="166" formatCode="[$-F800]dddd\,\ mmmm\ dd\,\ yyyy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0"/>
      <name val="Calibri"/>
      <family val="2"/>
      <scheme val="minor"/>
    </font>
    <font>
      <sz val="9"/>
      <color indexed="81"/>
      <name val="Segoe UI"/>
      <family val="2"/>
    </font>
    <font>
      <b/>
      <sz val="9"/>
      <color theme="1"/>
      <name val="Calibri"/>
      <family val="2"/>
      <scheme val="minor"/>
    </font>
    <font>
      <u/>
      <sz val="10"/>
      <name val="Arial"/>
      <family val="2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C7D5E"/>
        <bgColor indexed="64"/>
      </patternFill>
    </fill>
    <fill>
      <patternFill patternType="solid">
        <fgColor rgb="FFB6DCD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1E0F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mediumGray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2" fillId="3" borderId="7" applyNumberFormat="0" applyFont="0" applyAlignment="0"/>
    <xf numFmtId="0" fontId="3" fillId="4" borderId="7" applyNumberFormat="0" applyFont="0" applyBorder="0" applyAlignment="0">
      <alignment horizontal="right"/>
    </xf>
    <xf numFmtId="0" fontId="4" fillId="0" borderId="0" applyNumberFormat="0" applyFill="0" applyBorder="0" applyAlignment="0" applyProtection="0">
      <alignment vertical="top"/>
      <protection locked="0"/>
    </xf>
  </cellStyleXfs>
  <cellXfs count="68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6" borderId="43" xfId="0" applyFont="1" applyFill="1" applyBorder="1" applyProtection="1">
      <protection locked="0"/>
    </xf>
    <xf numFmtId="3" fontId="6" fillId="6" borderId="43" xfId="0" applyNumberFormat="1" applyFont="1" applyFill="1" applyBorder="1" applyAlignment="1" applyProtection="1">
      <alignment horizontal="center" vertical="center"/>
      <protection locked="0"/>
    </xf>
    <xf numFmtId="0" fontId="6" fillId="7" borderId="43" xfId="0" applyFont="1" applyFill="1" applyBorder="1" applyProtection="1">
      <protection locked="0"/>
    </xf>
    <xf numFmtId="3" fontId="6" fillId="7" borderId="43" xfId="0" applyNumberFormat="1" applyFont="1" applyFill="1" applyBorder="1" applyAlignment="1" applyProtection="1">
      <alignment horizontal="center" vertical="center"/>
      <protection locked="0"/>
    </xf>
    <xf numFmtId="166" fontId="6" fillId="0" borderId="0" xfId="0" applyNumberFormat="1" applyFont="1" applyProtection="1"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6" fillId="0" borderId="19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0" borderId="25" xfId="0" applyFont="1" applyBorder="1" applyAlignment="1" applyProtection="1">
      <alignment horizontal="right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3" xfId="0" applyFont="1" applyBorder="1" applyProtection="1">
      <protection locked="0"/>
    </xf>
    <xf numFmtId="0" fontId="6" fillId="0" borderId="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8" fillId="7" borderId="46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20" xfId="0" applyFont="1" applyBorder="1" applyProtection="1">
      <protection locked="0"/>
    </xf>
    <xf numFmtId="0" fontId="6" fillId="0" borderId="18" xfId="0" applyFont="1" applyBorder="1" applyProtection="1">
      <protection locked="0"/>
    </xf>
    <xf numFmtId="0" fontId="6" fillId="0" borderId="24" xfId="0" applyFont="1" applyBorder="1" applyProtection="1">
      <protection locked="0"/>
    </xf>
    <xf numFmtId="1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9" fillId="2" borderId="19" xfId="0" applyFont="1" applyFill="1" applyBorder="1" applyAlignment="1" applyProtection="1">
      <alignment horizontal="right"/>
      <protection locked="0"/>
    </xf>
    <xf numFmtId="0" fontId="8" fillId="6" borderId="1" xfId="0" applyFont="1" applyFill="1" applyBorder="1" applyProtection="1">
      <protection locked="0"/>
    </xf>
    <xf numFmtId="0" fontId="9" fillId="2" borderId="2" xfId="0" applyFont="1" applyFill="1" applyBorder="1" applyAlignment="1" applyProtection="1">
      <alignment horizontal="right"/>
      <protection locked="0"/>
    </xf>
    <xf numFmtId="0" fontId="8" fillId="7" borderId="1" xfId="0" applyFont="1" applyFill="1" applyBorder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20" xfId="0" applyFont="1" applyFill="1" applyBorder="1" applyAlignment="1" applyProtection="1">
      <alignment horizontal="right"/>
      <protection locked="0"/>
    </xf>
    <xf numFmtId="0" fontId="7" fillId="9" borderId="1" xfId="0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8" borderId="0" xfId="0" applyFont="1" applyFill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 vertical="center" textRotation="90" wrapText="1"/>
      <protection locked="0"/>
    </xf>
    <xf numFmtId="0" fontId="9" fillId="0" borderId="1" xfId="0" applyFont="1" applyBorder="1" applyAlignment="1" applyProtection="1">
      <alignment horizontal="right" vertical="center"/>
      <protection locked="0"/>
    </xf>
    <xf numFmtId="0" fontId="9" fillId="6" borderId="10" xfId="0" applyFont="1" applyFill="1" applyBorder="1" applyAlignment="1" applyProtection="1">
      <alignment horizontal="center" vertical="center"/>
      <protection locked="0"/>
    </xf>
    <xf numFmtId="0" fontId="9" fillId="6" borderId="11" xfId="0" applyFont="1" applyFill="1" applyBorder="1" applyAlignment="1" applyProtection="1">
      <alignment horizontal="center" vertical="center"/>
      <protection locked="0"/>
    </xf>
    <xf numFmtId="0" fontId="9" fillId="7" borderId="1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 textRotation="90"/>
      <protection locked="0"/>
    </xf>
    <xf numFmtId="0" fontId="9" fillId="5" borderId="1" xfId="2" applyFont="1" applyFill="1" applyBorder="1" applyAlignment="1" applyProtection="1">
      <alignment horizontal="right" vertical="center"/>
      <protection locked="0"/>
    </xf>
    <xf numFmtId="164" fontId="9" fillId="6" borderId="10" xfId="2" applyNumberFormat="1" applyFont="1" applyFill="1" applyBorder="1" applyAlignment="1" applyProtection="1">
      <alignment horizontal="center" vertical="center"/>
      <protection locked="0"/>
    </xf>
    <xf numFmtId="164" fontId="9" fillId="0" borderId="10" xfId="2" applyNumberFormat="1" applyFont="1" applyFill="1" applyBorder="1" applyAlignment="1" applyProtection="1">
      <alignment horizontal="center" vertical="center"/>
      <protection locked="0"/>
    </xf>
    <xf numFmtId="164" fontId="9" fillId="7" borderId="10" xfId="2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5" borderId="1" xfId="0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wrapText="1"/>
      <protection locked="0"/>
    </xf>
    <xf numFmtId="0" fontId="7" fillId="10" borderId="26" xfId="0" applyFont="1" applyFill="1" applyBorder="1" applyAlignment="1" applyProtection="1">
      <alignment horizontal="center" vertical="center"/>
      <protection locked="0"/>
    </xf>
    <xf numFmtId="166" fontId="6" fillId="6" borderId="17" xfId="0" applyNumberFormat="1" applyFont="1" applyFill="1" applyBorder="1" applyProtection="1">
      <protection locked="0"/>
    </xf>
    <xf numFmtId="0" fontId="6" fillId="6" borderId="35" xfId="0" applyFont="1" applyFill="1" applyBorder="1" applyProtection="1">
      <protection locked="0"/>
    </xf>
    <xf numFmtId="3" fontId="6" fillId="6" borderId="35" xfId="0" applyNumberFormat="1" applyFont="1" applyFill="1" applyBorder="1" applyProtection="1">
      <protection locked="0"/>
    </xf>
    <xf numFmtId="166" fontId="6" fillId="7" borderId="17" xfId="0" applyNumberFormat="1" applyFont="1" applyFill="1" applyBorder="1" applyProtection="1">
      <protection locked="0"/>
    </xf>
    <xf numFmtId="0" fontId="6" fillId="7" borderId="35" xfId="0" applyFont="1" applyFill="1" applyBorder="1" applyProtection="1">
      <protection locked="0"/>
    </xf>
    <xf numFmtId="3" fontId="6" fillId="7" borderId="35" xfId="0" applyNumberFormat="1" applyFont="1" applyFill="1" applyBorder="1" applyProtection="1">
      <protection locked="0"/>
    </xf>
    <xf numFmtId="166" fontId="7" fillId="10" borderId="8" xfId="0" applyNumberFormat="1" applyFont="1" applyFill="1" applyBorder="1" applyProtection="1">
      <protection locked="0"/>
    </xf>
    <xf numFmtId="0" fontId="6" fillId="10" borderId="6" xfId="0" applyFont="1" applyFill="1" applyBorder="1" applyProtection="1">
      <protection locked="0"/>
    </xf>
    <xf numFmtId="3" fontId="7" fillId="10" borderId="8" xfId="0" applyNumberFormat="1" applyFont="1" applyFill="1" applyBorder="1" applyProtection="1">
      <protection locked="0"/>
    </xf>
    <xf numFmtId="3" fontId="7" fillId="10" borderId="27" xfId="0" applyNumberFormat="1" applyFont="1" applyFill="1" applyBorder="1" applyProtection="1">
      <protection locked="0"/>
    </xf>
    <xf numFmtId="1" fontId="6" fillId="7" borderId="54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4" fillId="0" borderId="7" xfId="3" applyFill="1" applyBorder="1" applyAlignment="1" applyProtection="1">
      <alignment horizontal="left" vertical="center" wrapText="1"/>
      <protection locked="0"/>
    </xf>
    <xf numFmtId="1" fontId="6" fillId="7" borderId="54" xfId="0" applyNumberFormat="1" applyFont="1" applyFill="1" applyBorder="1" applyAlignment="1">
      <alignment horizontal="center" vertical="center" wrapText="1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6" fillId="0" borderId="25" xfId="0" applyFont="1" applyBorder="1" applyAlignment="1">
      <alignment horizontal="center" vertical="center" wrapText="1"/>
    </xf>
    <xf numFmtId="165" fontId="6" fillId="7" borderId="54" xfId="0" applyNumberFormat="1" applyFont="1" applyFill="1" applyBorder="1" applyAlignment="1" applyProtection="1">
      <alignment horizontal="center" vertical="center"/>
      <protection locked="0"/>
    </xf>
    <xf numFmtId="165" fontId="6" fillId="6" borderId="54" xfId="0" applyNumberFormat="1" applyFont="1" applyFill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7" borderId="39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5" borderId="26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1" fontId="6" fillId="6" borderId="22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165" fontId="6" fillId="6" borderId="22" xfId="0" applyNumberFormat="1" applyFont="1" applyFill="1" applyBorder="1" applyAlignment="1" applyProtection="1">
      <alignment horizontal="center" vertical="center"/>
      <protection locked="0"/>
    </xf>
    <xf numFmtId="1" fontId="7" fillId="2" borderId="13" xfId="0" applyNumberFormat="1" applyFont="1" applyFill="1" applyBorder="1" applyAlignment="1">
      <alignment horizontal="center" vertical="center"/>
    </xf>
    <xf numFmtId="0" fontId="14" fillId="0" borderId="7" xfId="3" applyFont="1" applyFill="1" applyBorder="1" applyAlignment="1" applyProtection="1">
      <alignment horizontal="left" vertical="center" wrapText="1"/>
      <protection locked="0"/>
    </xf>
    <xf numFmtId="0" fontId="17" fillId="0" borderId="7" xfId="3" applyFont="1" applyFill="1" applyBorder="1" applyAlignment="1" applyProtection="1">
      <alignment horizontal="left" vertical="center" wrapText="1"/>
      <protection locked="0"/>
    </xf>
    <xf numFmtId="0" fontId="8" fillId="7" borderId="17" xfId="0" applyFont="1" applyFill="1" applyBorder="1" applyAlignment="1" applyProtection="1">
      <alignment horizontal="left" vertical="center" wrapText="1"/>
      <protection locked="0"/>
    </xf>
    <xf numFmtId="0" fontId="8" fillId="7" borderId="7" xfId="0" applyFont="1" applyFill="1" applyBorder="1" applyAlignment="1" applyProtection="1">
      <alignment horizontal="left" vertical="center" wrapText="1"/>
      <protection locked="0"/>
    </xf>
    <xf numFmtId="0" fontId="17" fillId="7" borderId="7" xfId="3" applyFont="1" applyFill="1" applyBorder="1" applyAlignment="1" applyProtection="1">
      <alignment horizontal="left" vertical="center" wrapText="1"/>
      <protection locked="0"/>
    </xf>
    <xf numFmtId="0" fontId="14" fillId="7" borderId="7" xfId="3" applyFont="1" applyFill="1" applyBorder="1" applyAlignment="1" applyProtection="1">
      <alignment horizontal="left" vertical="center" wrapText="1"/>
      <protection locked="0"/>
    </xf>
    <xf numFmtId="0" fontId="0" fillId="7" borderId="7" xfId="0" applyFill="1" applyBorder="1" applyProtection="1">
      <protection locked="0"/>
    </xf>
    <xf numFmtId="0" fontId="10" fillId="0" borderId="47" xfId="0" applyFont="1" applyBorder="1" applyAlignment="1" applyProtection="1">
      <alignment horizontal="left" vertical="center" wrapText="1"/>
      <protection locked="0"/>
    </xf>
    <xf numFmtId="0" fontId="8" fillId="7" borderId="46" xfId="0" applyFont="1" applyFill="1" applyBorder="1" applyAlignment="1" applyProtection="1">
      <alignment vertical="center" wrapText="1"/>
      <protection locked="0"/>
    </xf>
    <xf numFmtId="0" fontId="19" fillId="11" borderId="28" xfId="0" applyFont="1" applyFill="1" applyBorder="1" applyAlignment="1">
      <alignment horizontal="center" vertical="center" wrapText="1"/>
    </xf>
    <xf numFmtId="0" fontId="19" fillId="11" borderId="30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 applyProtection="1">
      <alignment vertical="center"/>
      <protection locked="0"/>
    </xf>
    <xf numFmtId="0" fontId="19" fillId="11" borderId="19" xfId="0" applyFont="1" applyFill="1" applyBorder="1" applyAlignment="1" applyProtection="1">
      <alignment horizontal="center" vertical="center" wrapText="1"/>
      <protection locked="0"/>
    </xf>
    <xf numFmtId="0" fontId="19" fillId="11" borderId="9" xfId="0" applyFont="1" applyFill="1" applyBorder="1" applyAlignment="1" applyProtection="1">
      <alignment horizontal="center" vertical="center" wrapText="1"/>
      <protection locked="0"/>
    </xf>
    <xf numFmtId="0" fontId="4" fillId="0" borderId="7" xfId="3" applyFill="1" applyBorder="1" applyAlignment="1" applyProtection="1">
      <protection locked="0"/>
    </xf>
    <xf numFmtId="0" fontId="0" fillId="7" borderId="7" xfId="0" applyFill="1" applyBorder="1" applyAlignment="1" applyProtection="1">
      <alignment wrapText="1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10" fillId="0" borderId="46" xfId="0" applyFont="1" applyBorder="1" applyAlignment="1" applyProtection="1">
      <alignment horizontal="left" vertical="center" wrapText="1"/>
      <protection locked="0"/>
    </xf>
    <xf numFmtId="0" fontId="10" fillId="0" borderId="45" xfId="0" applyFont="1" applyBorder="1" applyAlignment="1" applyProtection="1">
      <alignment vertical="center"/>
      <protection locked="0"/>
    </xf>
    <xf numFmtId="0" fontId="9" fillId="7" borderId="58" xfId="0" applyFont="1" applyFill="1" applyBorder="1" applyAlignment="1">
      <alignment horizontal="center" vertical="center"/>
    </xf>
    <xf numFmtId="0" fontId="9" fillId="5" borderId="58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center" wrapText="1"/>
      <protection locked="0"/>
    </xf>
    <xf numFmtId="2" fontId="8" fillId="6" borderId="22" xfId="0" applyNumberFormat="1" applyFont="1" applyFill="1" applyBorder="1" applyAlignment="1" applyProtection="1">
      <alignment horizontal="center" vertical="center"/>
      <protection locked="0"/>
    </xf>
    <xf numFmtId="1" fontId="8" fillId="6" borderId="22" xfId="0" applyNumberFormat="1" applyFont="1" applyFill="1" applyBorder="1" applyAlignment="1" applyProtection="1">
      <alignment horizontal="center" vertical="center"/>
      <protection locked="0"/>
    </xf>
    <xf numFmtId="0" fontId="8" fillId="6" borderId="60" xfId="0" applyFont="1" applyFill="1" applyBorder="1" applyAlignment="1" applyProtection="1">
      <alignment vertical="center" wrapText="1"/>
      <protection locked="0"/>
    </xf>
    <xf numFmtId="165" fontId="8" fillId="6" borderId="3" xfId="0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 applyProtection="1">
      <alignment horizontal="left" vertical="center" wrapText="1"/>
      <protection locked="0"/>
    </xf>
    <xf numFmtId="0" fontId="8" fillId="6" borderId="4" xfId="0" applyFont="1" applyFill="1" applyBorder="1" applyAlignment="1" applyProtection="1">
      <alignment horizontal="left" vertical="center" wrapText="1"/>
      <protection locked="0"/>
    </xf>
    <xf numFmtId="0" fontId="13" fillId="6" borderId="4" xfId="3" applyFont="1" applyFill="1" applyBorder="1" applyAlignment="1" applyProtection="1">
      <alignment horizontal="left" vertical="center" wrapText="1"/>
      <protection locked="0"/>
    </xf>
    <xf numFmtId="0" fontId="6" fillId="6" borderId="4" xfId="0" applyFont="1" applyFill="1" applyBorder="1" applyAlignment="1" applyProtection="1">
      <alignment vertical="center"/>
      <protection locked="0"/>
    </xf>
    <xf numFmtId="0" fontId="6" fillId="6" borderId="5" xfId="0" applyFont="1" applyFill="1" applyBorder="1" applyAlignment="1" applyProtection="1">
      <alignment vertical="center"/>
      <protection locked="0"/>
    </xf>
    <xf numFmtId="4" fontId="8" fillId="7" borderId="54" xfId="0" applyNumberFormat="1" applyFont="1" applyFill="1" applyBorder="1" applyAlignment="1" applyProtection="1">
      <alignment horizontal="center" vertical="center"/>
      <protection locked="0"/>
    </xf>
    <xf numFmtId="1" fontId="8" fillId="7" borderId="54" xfId="0" applyNumberFormat="1" applyFont="1" applyFill="1" applyBorder="1" applyAlignment="1" applyProtection="1">
      <alignment horizontal="center" vertical="center"/>
      <protection locked="0"/>
    </xf>
    <xf numFmtId="165" fontId="8" fillId="7" borderId="17" xfId="0" applyNumberFormat="1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 applyProtection="1">
      <alignment vertical="center" wrapText="1"/>
      <protection locked="0"/>
    </xf>
    <xf numFmtId="0" fontId="0" fillId="7" borderId="7" xfId="0" applyFill="1" applyBorder="1"/>
    <xf numFmtId="0" fontId="6" fillId="7" borderId="16" xfId="0" applyFont="1" applyFill="1" applyBorder="1" applyAlignment="1" applyProtection="1">
      <alignment vertical="center"/>
      <protection locked="0"/>
    </xf>
    <xf numFmtId="4" fontId="8" fillId="6" borderId="54" xfId="0" applyNumberFormat="1" applyFont="1" applyFill="1" applyBorder="1" applyAlignment="1" applyProtection="1">
      <alignment horizontal="center" vertical="center"/>
      <protection locked="0"/>
    </xf>
    <xf numFmtId="1" fontId="8" fillId="6" borderId="54" xfId="0" applyNumberFormat="1" applyFont="1" applyFill="1" applyBorder="1" applyAlignment="1" applyProtection="1">
      <alignment horizontal="center" vertical="center"/>
      <protection locked="0"/>
    </xf>
    <xf numFmtId="165" fontId="8" fillId="6" borderId="17" xfId="0" applyNumberFormat="1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 applyProtection="1">
      <alignment horizontal="left" vertical="center" wrapText="1"/>
      <protection locked="0"/>
    </xf>
    <xf numFmtId="0" fontId="8" fillId="6" borderId="7" xfId="0" applyFont="1" applyFill="1" applyBorder="1" applyAlignment="1" applyProtection="1">
      <alignment horizontal="left" vertical="center" wrapText="1"/>
      <protection locked="0"/>
    </xf>
    <xf numFmtId="0" fontId="14" fillId="6" borderId="7" xfId="3" applyFont="1" applyFill="1" applyBorder="1" applyAlignment="1" applyProtection="1">
      <alignment horizontal="left" vertical="center" wrapText="1"/>
      <protection locked="0"/>
    </xf>
    <xf numFmtId="0" fontId="6" fillId="6" borderId="7" xfId="0" applyFont="1" applyFill="1" applyBorder="1" applyAlignment="1" applyProtection="1">
      <alignment vertical="center"/>
      <protection locked="0"/>
    </xf>
    <xf numFmtId="0" fontId="6" fillId="6" borderId="16" xfId="0" applyFont="1" applyFill="1" applyBorder="1" applyAlignment="1" applyProtection="1">
      <alignment vertical="center"/>
      <protection locked="0"/>
    </xf>
    <xf numFmtId="0" fontId="8" fillId="6" borderId="46" xfId="0" applyFont="1" applyFill="1" applyBorder="1" applyAlignment="1" applyProtection="1">
      <alignment vertical="center" wrapText="1"/>
      <protection locked="0"/>
    </xf>
    <xf numFmtId="0" fontId="17" fillId="6" borderId="7" xfId="3" applyFont="1" applyFill="1" applyBorder="1" applyAlignment="1" applyProtection="1">
      <alignment horizontal="left" vertical="center" wrapText="1"/>
      <protection locked="0"/>
    </xf>
    <xf numFmtId="0" fontId="9" fillId="6" borderId="58" xfId="0" applyFont="1" applyFill="1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9" fillId="7" borderId="12" xfId="0" applyFont="1" applyFill="1" applyBorder="1" applyAlignment="1" applyProtection="1">
      <alignment horizontal="center" vertical="center"/>
      <protection locked="0"/>
    </xf>
    <xf numFmtId="0" fontId="8" fillId="7" borderId="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9" fillId="7" borderId="65" xfId="0" applyFont="1" applyFill="1" applyBorder="1" applyAlignment="1">
      <alignment horizontal="center" vertical="center"/>
    </xf>
    <xf numFmtId="166" fontId="6" fillId="0" borderId="17" xfId="0" applyNumberFormat="1" applyFont="1" applyBorder="1" applyProtection="1">
      <protection locked="0"/>
    </xf>
    <xf numFmtId="0" fontId="6" fillId="0" borderId="35" xfId="0" applyFont="1" applyBorder="1" applyProtection="1">
      <protection locked="0"/>
    </xf>
    <xf numFmtId="0" fontId="6" fillId="0" borderId="43" xfId="0" applyFont="1" applyBorder="1" applyProtection="1">
      <protection locked="0"/>
    </xf>
    <xf numFmtId="3" fontId="6" fillId="0" borderId="35" xfId="0" applyNumberFormat="1" applyFont="1" applyBorder="1" applyProtection="1">
      <protection locked="0"/>
    </xf>
    <xf numFmtId="3" fontId="6" fillId="0" borderId="43" xfId="0" applyNumberFormat="1" applyFont="1" applyBorder="1" applyAlignment="1" applyProtection="1">
      <alignment horizontal="center" vertical="center"/>
      <protection locked="0"/>
    </xf>
    <xf numFmtId="0" fontId="6" fillId="7" borderId="40" xfId="0" applyFont="1" applyFill="1" applyBorder="1" applyProtection="1">
      <protection locked="0"/>
    </xf>
    <xf numFmtId="0" fontId="6" fillId="7" borderId="44" xfId="0" applyFont="1" applyFill="1" applyBorder="1" applyProtection="1">
      <protection locked="0"/>
    </xf>
    <xf numFmtId="3" fontId="6" fillId="7" borderId="40" xfId="0" applyNumberFormat="1" applyFont="1" applyFill="1" applyBorder="1" applyProtection="1">
      <protection locked="0"/>
    </xf>
    <xf numFmtId="3" fontId="6" fillId="7" borderId="44" xfId="0" applyNumberFormat="1" applyFont="1" applyFill="1" applyBorder="1" applyAlignment="1" applyProtection="1">
      <alignment horizontal="center" vertical="center"/>
      <protection locked="0"/>
    </xf>
    <xf numFmtId="165" fontId="6" fillId="0" borderId="54" xfId="0" applyNumberFormat="1" applyFont="1" applyBorder="1" applyAlignment="1" applyProtection="1">
      <alignment horizontal="center" vertical="center"/>
      <protection locked="0"/>
    </xf>
    <xf numFmtId="4" fontId="8" fillId="0" borderId="54" xfId="0" applyNumberFormat="1" applyFont="1" applyBorder="1" applyAlignment="1" applyProtection="1">
      <alignment horizontal="center" vertical="center"/>
      <protection locked="0"/>
    </xf>
    <xf numFmtId="1" fontId="8" fillId="0" borderId="54" xfId="0" applyNumberFormat="1" applyFont="1" applyBorder="1" applyAlignment="1" applyProtection="1">
      <alignment horizontal="center" vertical="center"/>
      <protection locked="0"/>
    </xf>
    <xf numFmtId="1" fontId="6" fillId="0" borderId="54" xfId="0" applyNumberFormat="1" applyFont="1" applyBorder="1" applyAlignment="1">
      <alignment horizontal="center" vertical="center" wrapText="1"/>
    </xf>
    <xf numFmtId="0" fontId="8" fillId="0" borderId="46" xfId="0" applyFont="1" applyBorder="1" applyAlignment="1" applyProtection="1">
      <alignment vertical="center" wrapText="1"/>
      <protection locked="0"/>
    </xf>
    <xf numFmtId="165" fontId="8" fillId="0" borderId="17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0" fillId="0" borderId="7" xfId="0" applyBorder="1" applyProtection="1"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0" fillId="0" borderId="7" xfId="0" applyBorder="1"/>
    <xf numFmtId="0" fontId="6" fillId="0" borderId="7" xfId="0" applyFont="1" applyBorder="1" applyAlignment="1" applyProtection="1">
      <alignment vertical="center" wrapText="1"/>
      <protection locked="0"/>
    </xf>
    <xf numFmtId="0" fontId="0" fillId="0" borderId="7" xfId="0" applyBorder="1" applyAlignment="1" applyProtection="1">
      <alignment wrapText="1"/>
      <protection locked="0"/>
    </xf>
    <xf numFmtId="1" fontId="6" fillId="0" borderId="54" xfId="0" applyNumberFormat="1" applyFont="1" applyBorder="1" applyAlignment="1">
      <alignment horizontal="center" vertical="center"/>
    </xf>
    <xf numFmtId="0" fontId="4" fillId="0" borderId="7" xfId="3" applyFill="1" applyBorder="1" applyAlignment="1" applyProtection="1">
      <alignment wrapText="1"/>
      <protection locked="0"/>
    </xf>
    <xf numFmtId="0" fontId="8" fillId="0" borderId="46" xfId="0" applyFont="1" applyBorder="1" applyAlignment="1" applyProtection="1">
      <alignment horizontal="left" vertical="center" wrapText="1"/>
      <protection locked="0"/>
    </xf>
    <xf numFmtId="0" fontId="6" fillId="0" borderId="46" xfId="0" applyFont="1" applyBorder="1" applyAlignment="1" applyProtection="1">
      <alignment vertical="center" wrapText="1"/>
      <protection locked="0"/>
    </xf>
    <xf numFmtId="1" fontId="6" fillId="6" borderId="54" xfId="0" applyNumberFormat="1" applyFont="1" applyFill="1" applyBorder="1" applyAlignment="1">
      <alignment horizontal="center" vertical="center" wrapText="1"/>
    </xf>
    <xf numFmtId="0" fontId="13" fillId="6" borderId="7" xfId="3" applyFont="1" applyFill="1" applyBorder="1" applyAlignment="1" applyProtection="1">
      <alignment horizontal="left" vertical="center" wrapText="1"/>
      <protection locked="0"/>
    </xf>
    <xf numFmtId="0" fontId="0" fillId="6" borderId="7" xfId="0" applyFill="1" applyBorder="1" applyProtection="1">
      <protection locked="0"/>
    </xf>
    <xf numFmtId="0" fontId="8" fillId="6" borderId="7" xfId="0" applyFont="1" applyFill="1" applyBorder="1" applyAlignment="1" applyProtection="1">
      <alignment vertical="center" wrapText="1"/>
      <protection locked="0"/>
    </xf>
    <xf numFmtId="0" fontId="6" fillId="6" borderId="64" xfId="0" applyFont="1" applyFill="1" applyBorder="1" applyAlignment="1" applyProtection="1">
      <alignment vertical="center" wrapText="1"/>
      <protection locked="0"/>
    </xf>
    <xf numFmtId="0" fontId="0" fillId="6" borderId="7" xfId="0" applyFill="1" applyBorder="1" applyAlignment="1" applyProtection="1">
      <alignment wrapText="1"/>
      <protection locked="0"/>
    </xf>
    <xf numFmtId="0" fontId="8" fillId="7" borderId="7" xfId="3" applyFont="1" applyFill="1" applyBorder="1" applyAlignment="1" applyProtection="1">
      <alignment horizontal="left" vertical="center" wrapText="1"/>
      <protection locked="0"/>
    </xf>
    <xf numFmtId="0" fontId="20" fillId="7" borderId="0" xfId="0" applyFont="1" applyFill="1" applyProtection="1">
      <protection locked="0"/>
    </xf>
    <xf numFmtId="0" fontId="18" fillId="7" borderId="7" xfId="0" applyFont="1" applyFill="1" applyBorder="1" applyAlignment="1" applyProtection="1">
      <alignment wrapText="1"/>
      <protection locked="0"/>
    </xf>
    <xf numFmtId="165" fontId="6" fillId="7" borderId="66" xfId="0" applyNumberFormat="1" applyFont="1" applyFill="1" applyBorder="1" applyAlignment="1" applyProtection="1">
      <alignment horizontal="center" vertical="center"/>
      <protection locked="0"/>
    </xf>
    <xf numFmtId="4" fontId="8" fillId="7" borderId="66" xfId="0" applyNumberFormat="1" applyFont="1" applyFill="1" applyBorder="1" applyAlignment="1" applyProtection="1">
      <alignment horizontal="center" vertical="center"/>
      <protection locked="0"/>
    </xf>
    <xf numFmtId="1" fontId="8" fillId="7" borderId="66" xfId="0" applyNumberFormat="1" applyFont="1" applyFill="1" applyBorder="1" applyAlignment="1" applyProtection="1">
      <alignment horizontal="center" vertical="center"/>
      <protection locked="0"/>
    </xf>
    <xf numFmtId="1" fontId="6" fillId="7" borderId="66" xfId="0" applyNumberFormat="1" applyFont="1" applyFill="1" applyBorder="1" applyAlignment="1">
      <alignment horizontal="center" vertical="center" wrapText="1"/>
    </xf>
    <xf numFmtId="0" fontId="8" fillId="7" borderId="66" xfId="0" applyFont="1" applyFill="1" applyBorder="1" applyAlignment="1" applyProtection="1">
      <alignment vertical="center" wrapText="1"/>
      <protection locked="0"/>
    </xf>
    <xf numFmtId="165" fontId="8" fillId="7" borderId="38" xfId="0" applyNumberFormat="1" applyFont="1" applyFill="1" applyBorder="1" applyAlignment="1">
      <alignment horizontal="center" vertical="center" wrapText="1"/>
    </xf>
    <xf numFmtId="0" fontId="8" fillId="7" borderId="48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 applyProtection="1">
      <alignment horizontal="left" vertical="center" wrapText="1"/>
      <protection locked="0"/>
    </xf>
    <xf numFmtId="0" fontId="8" fillId="7" borderId="39" xfId="0" applyFont="1" applyFill="1" applyBorder="1" applyAlignment="1" applyProtection="1">
      <alignment horizontal="left" vertical="center" wrapText="1"/>
      <protection locked="0"/>
    </xf>
    <xf numFmtId="0" fontId="0" fillId="7" borderId="39" xfId="0" applyFill="1" applyBorder="1" applyProtection="1">
      <protection locked="0"/>
    </xf>
    <xf numFmtId="0" fontId="6" fillId="7" borderId="39" xfId="0" applyFont="1" applyFill="1" applyBorder="1" applyAlignment="1" applyProtection="1">
      <alignment vertical="center"/>
      <protection locked="0"/>
    </xf>
    <xf numFmtId="0" fontId="6" fillId="7" borderId="48" xfId="0" applyFont="1" applyFill="1" applyBorder="1" applyAlignment="1" applyProtection="1">
      <alignment vertical="center"/>
      <protection locked="0"/>
    </xf>
    <xf numFmtId="0" fontId="9" fillId="12" borderId="11" xfId="0" applyFont="1" applyFill="1" applyBorder="1" applyAlignment="1" applyProtection="1">
      <alignment horizontal="center" vertical="center"/>
      <protection locked="0"/>
    </xf>
    <xf numFmtId="0" fontId="9" fillId="12" borderId="12" xfId="0" applyFont="1" applyFill="1" applyBorder="1" applyAlignment="1" applyProtection="1">
      <alignment horizontal="center" vertical="center"/>
      <protection locked="0"/>
    </xf>
    <xf numFmtId="164" fontId="9" fillId="12" borderId="10" xfId="2" applyNumberFormat="1" applyFont="1" applyFill="1" applyBorder="1" applyAlignment="1" applyProtection="1">
      <alignment horizontal="center" vertical="center"/>
      <protection locked="0"/>
    </xf>
    <xf numFmtId="0" fontId="8" fillId="12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2" borderId="39" xfId="0" applyFont="1" applyFill="1" applyBorder="1" applyAlignment="1">
      <alignment horizontal="center" vertical="center"/>
    </xf>
    <xf numFmtId="0" fontId="8" fillId="12" borderId="48" xfId="0" applyFont="1" applyFill="1" applyBorder="1" applyAlignment="1">
      <alignment horizontal="center" vertical="center"/>
    </xf>
    <xf numFmtId="0" fontId="9" fillId="12" borderId="58" xfId="0" applyFont="1" applyFill="1" applyBorder="1" applyAlignment="1">
      <alignment horizontal="center" vertical="center"/>
    </xf>
    <xf numFmtId="0" fontId="9" fillId="12" borderId="65" xfId="0" applyFont="1" applyFill="1" applyBorder="1" applyAlignment="1">
      <alignment horizontal="center" vertical="center"/>
    </xf>
    <xf numFmtId="0" fontId="9" fillId="7" borderId="10" xfId="0" applyFont="1" applyFill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0" fontId="13" fillId="0" borderId="7" xfId="3" applyFont="1" applyFill="1" applyBorder="1" applyAlignment="1" applyProtection="1">
      <alignment horizontal="left" vertical="center" wrapText="1"/>
      <protection locked="0"/>
    </xf>
    <xf numFmtId="0" fontId="8" fillId="0" borderId="7" xfId="3" applyFont="1" applyFill="1" applyBorder="1" applyAlignment="1" applyProtection="1">
      <alignment horizontal="left" vertical="center" wrapText="1"/>
      <protection locked="0"/>
    </xf>
    <xf numFmtId="0" fontId="18" fillId="0" borderId="7" xfId="0" applyFont="1" applyBorder="1" applyAlignment="1" applyProtection="1">
      <alignment wrapText="1"/>
      <protection locked="0"/>
    </xf>
    <xf numFmtId="165" fontId="6" fillId="7" borderId="22" xfId="0" applyNumberFormat="1" applyFont="1" applyFill="1" applyBorder="1" applyAlignment="1" applyProtection="1">
      <alignment horizontal="center" vertical="center"/>
      <protection locked="0"/>
    </xf>
    <xf numFmtId="2" fontId="8" fillId="7" borderId="22" xfId="0" applyNumberFormat="1" applyFont="1" applyFill="1" applyBorder="1" applyAlignment="1" applyProtection="1">
      <alignment horizontal="center" vertical="center"/>
      <protection locked="0"/>
    </xf>
    <xf numFmtId="1" fontId="8" fillId="7" borderId="22" xfId="0" applyNumberFormat="1" applyFont="1" applyFill="1" applyBorder="1" applyAlignment="1" applyProtection="1">
      <alignment horizontal="center" vertical="center"/>
      <protection locked="0"/>
    </xf>
    <xf numFmtId="1" fontId="6" fillId="7" borderId="22" xfId="0" applyNumberFormat="1" applyFont="1" applyFill="1" applyBorder="1" applyAlignment="1">
      <alignment horizontal="center" vertical="center"/>
    </xf>
    <xf numFmtId="0" fontId="8" fillId="7" borderId="60" xfId="0" applyFont="1" applyFill="1" applyBorder="1" applyAlignment="1" applyProtection="1">
      <alignment vertical="center" wrapText="1"/>
      <protection locked="0"/>
    </xf>
    <xf numFmtId="0" fontId="8" fillId="7" borderId="3" xfId="0" applyFont="1" applyFill="1" applyBorder="1" applyAlignment="1" applyProtection="1">
      <alignment horizontal="left" vertical="center" wrapText="1"/>
      <protection locked="0"/>
    </xf>
    <xf numFmtId="0" fontId="8" fillId="7" borderId="4" xfId="0" applyFont="1" applyFill="1" applyBorder="1" applyAlignment="1" applyProtection="1">
      <alignment horizontal="left" vertical="center" wrapText="1"/>
      <protection locked="0"/>
    </xf>
    <xf numFmtId="0" fontId="13" fillId="7" borderId="4" xfId="3" applyFont="1" applyFill="1" applyBorder="1" applyAlignment="1" applyProtection="1">
      <alignment horizontal="left" vertical="center" wrapText="1"/>
      <protection locked="0"/>
    </xf>
    <xf numFmtId="0" fontId="6" fillId="7" borderId="4" xfId="0" applyFont="1" applyFill="1" applyBorder="1" applyAlignment="1" applyProtection="1">
      <alignment vertical="center"/>
      <protection locked="0"/>
    </xf>
    <xf numFmtId="0" fontId="6" fillId="7" borderId="5" xfId="0" applyFont="1" applyFill="1" applyBorder="1" applyAlignment="1" applyProtection="1">
      <alignment vertical="center"/>
      <protection locked="0"/>
    </xf>
    <xf numFmtId="0" fontId="6" fillId="7" borderId="64" xfId="0" applyFont="1" applyFill="1" applyBorder="1" applyAlignment="1" applyProtection="1">
      <alignment vertical="center" wrapText="1"/>
      <protection locked="0"/>
    </xf>
    <xf numFmtId="0" fontId="4" fillId="0" borderId="7" xfId="3" applyBorder="1" applyAlignment="1" applyProtection="1">
      <protection locked="0"/>
    </xf>
    <xf numFmtId="0" fontId="4" fillId="0" borderId="7" xfId="3" applyBorder="1" applyAlignment="1" applyProtection="1">
      <alignment vertical="center"/>
      <protection locked="0"/>
    </xf>
    <xf numFmtId="0" fontId="4" fillId="0" borderId="16" xfId="3" applyBorder="1" applyAlignment="1" applyProtection="1">
      <alignment vertical="center"/>
      <protection locked="0"/>
    </xf>
    <xf numFmtId="0" fontId="8" fillId="13" borderId="46" xfId="0" applyFont="1" applyFill="1" applyBorder="1" applyAlignment="1" applyProtection="1">
      <alignment vertical="center" wrapText="1"/>
      <protection locked="0"/>
    </xf>
    <xf numFmtId="0" fontId="8" fillId="13" borderId="46" xfId="0" applyFont="1" applyFill="1" applyBorder="1" applyAlignment="1" applyProtection="1">
      <alignment horizontal="left" vertical="center" wrapText="1"/>
      <protection locked="0"/>
    </xf>
    <xf numFmtId="0" fontId="4" fillId="13" borderId="7" xfId="3" applyFill="1" applyBorder="1" applyAlignment="1" applyProtection="1">
      <alignment horizontal="left" vertical="center" wrapText="1"/>
      <protection locked="0"/>
    </xf>
    <xf numFmtId="0" fontId="8" fillId="14" borderId="46" xfId="0" applyFont="1" applyFill="1" applyBorder="1" applyAlignment="1" applyProtection="1">
      <alignment vertical="center" wrapText="1"/>
      <protection locked="0"/>
    </xf>
    <xf numFmtId="0" fontId="4" fillId="14" borderId="7" xfId="3" applyFill="1" applyBorder="1" applyAlignment="1" applyProtection="1">
      <alignment horizontal="left" vertical="center" wrapText="1"/>
      <protection locked="0"/>
    </xf>
    <xf numFmtId="0" fontId="8" fillId="15" borderId="46" xfId="0" applyFont="1" applyFill="1" applyBorder="1" applyAlignment="1" applyProtection="1">
      <alignment horizontal="left" vertical="center" wrapText="1"/>
      <protection locked="0"/>
    </xf>
    <xf numFmtId="0" fontId="4" fillId="15" borderId="7" xfId="3" applyFill="1" applyBorder="1" applyAlignment="1" applyProtection="1">
      <alignment horizontal="left" vertical="center" wrapText="1"/>
      <protection locked="0"/>
    </xf>
    <xf numFmtId="0" fontId="8" fillId="9" borderId="7" xfId="0" applyFont="1" applyFill="1" applyBorder="1" applyAlignment="1" applyProtection="1">
      <alignment horizontal="left" vertical="center" wrapText="1"/>
      <protection locked="0"/>
    </xf>
    <xf numFmtId="0" fontId="4" fillId="0" borderId="7" xfId="3" applyBorder="1" applyAlignment="1" applyProtection="1">
      <alignment wrapText="1"/>
      <protection locked="0"/>
    </xf>
    <xf numFmtId="0" fontId="8" fillId="10" borderId="46" xfId="0" applyFont="1" applyFill="1" applyBorder="1" applyAlignment="1" applyProtection="1">
      <alignment vertical="center" wrapText="1"/>
      <protection locked="0"/>
    </xf>
    <xf numFmtId="0" fontId="8" fillId="16" borderId="46" xfId="0" applyFont="1" applyFill="1" applyBorder="1" applyAlignment="1" applyProtection="1">
      <alignment horizontal="left" vertical="center" wrapText="1"/>
      <protection locked="0"/>
    </xf>
    <xf numFmtId="0" fontId="8" fillId="17" borderId="46" xfId="0" applyFont="1" applyFill="1" applyBorder="1" applyAlignment="1" applyProtection="1">
      <alignment vertical="center" wrapText="1"/>
      <protection locked="0"/>
    </xf>
    <xf numFmtId="0" fontId="4" fillId="17" borderId="7" xfId="3" applyFill="1" applyBorder="1" applyAlignment="1" applyProtection="1">
      <alignment wrapText="1"/>
      <protection locked="0"/>
    </xf>
    <xf numFmtId="0" fontId="4" fillId="13" borderId="7" xfId="3" applyFill="1" applyBorder="1" applyAlignment="1" applyProtection="1">
      <alignment wrapText="1"/>
      <protection locked="0"/>
    </xf>
    <xf numFmtId="0" fontId="4" fillId="13" borderId="7" xfId="3" applyFill="1" applyBorder="1" applyAlignment="1" applyProtection="1">
      <alignment vertical="center" wrapText="1"/>
      <protection locked="0"/>
    </xf>
    <xf numFmtId="165" fontId="6" fillId="0" borderId="66" xfId="0" applyNumberFormat="1" applyFont="1" applyBorder="1" applyAlignment="1" applyProtection="1">
      <alignment horizontal="center" vertical="center"/>
      <protection locked="0"/>
    </xf>
    <xf numFmtId="4" fontId="8" fillId="0" borderId="66" xfId="0" applyNumberFormat="1" applyFont="1" applyBorder="1" applyAlignment="1" applyProtection="1">
      <alignment horizontal="center" vertical="center"/>
      <protection locked="0"/>
    </xf>
    <xf numFmtId="1" fontId="8" fillId="0" borderId="66" xfId="0" applyNumberFormat="1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vertical="center" wrapText="1"/>
      <protection locked="0"/>
    </xf>
    <xf numFmtId="0" fontId="8" fillId="0" borderId="38" xfId="0" applyFont="1" applyBorder="1" applyAlignment="1" applyProtection="1">
      <alignment horizontal="left" vertical="center" wrapText="1"/>
      <protection locked="0"/>
    </xf>
    <xf numFmtId="0" fontId="8" fillId="0" borderId="39" xfId="0" applyFont="1" applyBorder="1" applyAlignment="1" applyProtection="1">
      <alignment horizontal="left" vertical="center" wrapText="1"/>
      <protection locked="0"/>
    </xf>
    <xf numFmtId="0" fontId="0" fillId="0" borderId="39" xfId="0" applyBorder="1" applyProtection="1">
      <protection locked="0"/>
    </xf>
    <xf numFmtId="0" fontId="14" fillId="0" borderId="39" xfId="3" applyFont="1" applyFill="1" applyBorder="1" applyAlignment="1" applyProtection="1">
      <alignment horizontal="left" vertical="center" wrapText="1"/>
      <protection locked="0"/>
    </xf>
    <xf numFmtId="0" fontId="6" fillId="0" borderId="39" xfId="0" applyFont="1" applyBorder="1" applyAlignment="1" applyProtection="1">
      <alignment vertical="center"/>
      <protection locked="0"/>
    </xf>
    <xf numFmtId="0" fontId="6" fillId="0" borderId="48" xfId="0" applyFont="1" applyBorder="1" applyAlignment="1" applyProtection="1">
      <alignment vertical="center"/>
      <protection locked="0"/>
    </xf>
    <xf numFmtId="166" fontId="7" fillId="10" borderId="20" xfId="0" applyNumberFormat="1" applyFont="1" applyFill="1" applyBorder="1" applyProtection="1">
      <protection locked="0"/>
    </xf>
    <xf numFmtId="0" fontId="6" fillId="10" borderId="18" xfId="0" applyFont="1" applyFill="1" applyBorder="1" applyProtection="1">
      <protection locked="0"/>
    </xf>
    <xf numFmtId="3" fontId="7" fillId="10" borderId="20" xfId="0" applyNumberFormat="1" applyFont="1" applyFill="1" applyBorder="1" applyProtection="1">
      <protection locked="0"/>
    </xf>
    <xf numFmtId="3" fontId="7" fillId="10" borderId="24" xfId="0" applyNumberFormat="1" applyFont="1" applyFill="1" applyBorder="1" applyProtection="1">
      <protection locked="0"/>
    </xf>
    <xf numFmtId="166" fontId="6" fillId="0" borderId="38" xfId="0" applyNumberFormat="1" applyFont="1" applyBorder="1" applyProtection="1">
      <protection locked="0"/>
    </xf>
    <xf numFmtId="0" fontId="6" fillId="0" borderId="40" xfId="0" applyFont="1" applyBorder="1" applyProtection="1">
      <protection locked="0"/>
    </xf>
    <xf numFmtId="0" fontId="6" fillId="0" borderId="44" xfId="0" applyFont="1" applyBorder="1" applyProtection="1">
      <protection locked="0"/>
    </xf>
    <xf numFmtId="3" fontId="6" fillId="0" borderId="40" xfId="0" applyNumberFormat="1" applyFont="1" applyBorder="1" applyProtection="1">
      <protection locked="0"/>
    </xf>
    <xf numFmtId="3" fontId="6" fillId="0" borderId="44" xfId="0" applyNumberFormat="1" applyFont="1" applyBorder="1" applyAlignment="1" applyProtection="1">
      <alignment horizontal="center" vertical="center"/>
      <protection locked="0"/>
    </xf>
    <xf numFmtId="0" fontId="8" fillId="7" borderId="5" xfId="0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 applyProtection="1">
      <alignment horizontal="center" vertical="center" wrapText="1"/>
      <protection locked="0"/>
    </xf>
    <xf numFmtId="0" fontId="8" fillId="7" borderId="16" xfId="0" applyFont="1" applyFill="1" applyBorder="1" applyAlignment="1" applyProtection="1">
      <alignment horizontal="center" vertical="center" wrapText="1"/>
      <protection locked="0"/>
    </xf>
    <xf numFmtId="0" fontId="6" fillId="0" borderId="19" xfId="0" applyFont="1" applyBorder="1"/>
    <xf numFmtId="0" fontId="6" fillId="0" borderId="25" xfId="0" applyFont="1" applyBorder="1"/>
    <xf numFmtId="0" fontId="6" fillId="0" borderId="25" xfId="0" applyFont="1" applyBorder="1" applyAlignment="1">
      <alignment horizontal="right"/>
    </xf>
    <xf numFmtId="0" fontId="6" fillId="0" borderId="25" xfId="0" applyFont="1" applyBorder="1" applyAlignment="1">
      <alignment horizontal="center"/>
    </xf>
    <xf numFmtId="0" fontId="6" fillId="0" borderId="23" xfId="0" applyFont="1" applyBorder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21" xfId="0" applyFont="1" applyBorder="1"/>
    <xf numFmtId="0" fontId="6" fillId="0" borderId="20" xfId="0" applyFont="1" applyBorder="1"/>
    <xf numFmtId="0" fontId="6" fillId="0" borderId="18" xfId="0" applyFont="1" applyBorder="1"/>
    <xf numFmtId="0" fontId="6" fillId="0" borderId="24" xfId="0" applyFont="1" applyBorder="1"/>
    <xf numFmtId="0" fontId="7" fillId="0" borderId="2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5" fontId="6" fillId="7" borderId="22" xfId="0" applyNumberFormat="1" applyFont="1" applyFill="1" applyBorder="1" applyAlignment="1">
      <alignment horizontal="center" vertical="center"/>
    </xf>
    <xf numFmtId="2" fontId="8" fillId="7" borderId="22" xfId="0" applyNumberFormat="1" applyFont="1" applyFill="1" applyBorder="1" applyAlignment="1">
      <alignment horizontal="center" vertical="center"/>
    </xf>
    <xf numFmtId="165" fontId="6" fillId="0" borderId="54" xfId="0" applyNumberFormat="1" applyFont="1" applyBorder="1" applyAlignment="1">
      <alignment horizontal="center" vertical="center"/>
    </xf>
    <xf numFmtId="4" fontId="8" fillId="0" borderId="54" xfId="0" applyNumberFormat="1" applyFont="1" applyBorder="1" applyAlignment="1">
      <alignment horizontal="center" vertical="center"/>
    </xf>
    <xf numFmtId="165" fontId="6" fillId="7" borderId="54" xfId="0" applyNumberFormat="1" applyFont="1" applyFill="1" applyBorder="1" applyAlignment="1">
      <alignment horizontal="center" vertical="center"/>
    </xf>
    <xf numFmtId="4" fontId="8" fillId="7" borderId="54" xfId="0" applyNumberFormat="1" applyFont="1" applyFill="1" applyBorder="1" applyAlignment="1">
      <alignment horizontal="center" vertical="center"/>
    </xf>
    <xf numFmtId="165" fontId="6" fillId="7" borderId="66" xfId="0" applyNumberFormat="1" applyFont="1" applyFill="1" applyBorder="1" applyAlignment="1">
      <alignment horizontal="center" vertical="center"/>
    </xf>
    <xf numFmtId="4" fontId="8" fillId="7" borderId="66" xfId="0" applyNumberFormat="1" applyFont="1" applyFill="1" applyBorder="1" applyAlignment="1">
      <alignment horizontal="center" vertical="center"/>
    </xf>
    <xf numFmtId="0" fontId="4" fillId="18" borderId="7" xfId="3" applyFill="1" applyBorder="1" applyAlignment="1" applyProtection="1">
      <alignment horizontal="left" vertical="center" wrapText="1"/>
      <protection locked="0"/>
    </xf>
    <xf numFmtId="0" fontId="4" fillId="7" borderId="7" xfId="3" applyFill="1" applyBorder="1" applyAlignment="1" applyProtection="1">
      <alignment wrapText="1"/>
      <protection locked="0"/>
    </xf>
    <xf numFmtId="0" fontId="4" fillId="7" borderId="7" xfId="3" applyFill="1" applyBorder="1" applyAlignment="1" applyProtection="1">
      <alignment horizontal="left" vertical="center" wrapText="1"/>
      <protection locked="0"/>
    </xf>
    <xf numFmtId="0" fontId="4" fillId="7" borderId="7" xfId="3" applyFill="1" applyBorder="1" applyAlignment="1" applyProtection="1">
      <protection locked="0"/>
    </xf>
    <xf numFmtId="0" fontId="20" fillId="17" borderId="0" xfId="0" applyFont="1" applyFill="1" applyProtection="1">
      <protection locked="0"/>
    </xf>
    <xf numFmtId="0" fontId="6" fillId="18" borderId="0" xfId="0" applyFont="1" applyFill="1" applyProtection="1">
      <protection locked="0"/>
    </xf>
    <xf numFmtId="0" fontId="9" fillId="18" borderId="0" xfId="0" applyFont="1" applyFill="1" applyAlignment="1" applyProtection="1">
      <alignment horizontal="center"/>
      <protection locked="0"/>
    </xf>
    <xf numFmtId="0" fontId="8" fillId="18" borderId="5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8" fillId="18" borderId="48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/>
    </xf>
    <xf numFmtId="0" fontId="6" fillId="18" borderId="25" xfId="0" applyFont="1" applyFill="1" applyBorder="1"/>
    <xf numFmtId="0" fontId="6" fillId="18" borderId="0" xfId="0" applyFont="1" applyFill="1"/>
    <xf numFmtId="0" fontId="6" fillId="18" borderId="18" xfId="0" applyFont="1" applyFill="1" applyBorder="1"/>
    <xf numFmtId="0" fontId="7" fillId="18" borderId="9" xfId="0" applyFont="1" applyFill="1" applyBorder="1" applyAlignment="1">
      <alignment horizontal="center" vertical="center" wrapText="1"/>
    </xf>
    <xf numFmtId="1" fontId="8" fillId="18" borderId="22" xfId="0" applyNumberFormat="1" applyFont="1" applyFill="1" applyBorder="1" applyAlignment="1">
      <alignment horizontal="center" vertical="center"/>
    </xf>
    <xf numFmtId="1" fontId="8" fillId="18" borderId="54" xfId="0" applyNumberFormat="1" applyFont="1" applyFill="1" applyBorder="1" applyAlignment="1">
      <alignment horizontal="center" vertical="center"/>
    </xf>
    <xf numFmtId="1" fontId="8" fillId="18" borderId="66" xfId="0" applyNumberFormat="1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6" fillId="18" borderId="0" xfId="0" applyFont="1" applyFill="1" applyAlignment="1" applyProtection="1">
      <alignment vertical="center"/>
      <protection locked="0"/>
    </xf>
    <xf numFmtId="165" fontId="8" fillId="7" borderId="67" xfId="0" applyNumberFormat="1" applyFont="1" applyFill="1" applyBorder="1" applyAlignment="1" applyProtection="1">
      <alignment horizontal="center" vertical="center" wrapText="1"/>
      <protection locked="0"/>
    </xf>
    <xf numFmtId="165" fontId="8" fillId="0" borderId="43" xfId="0" applyNumberFormat="1" applyFont="1" applyBorder="1" applyAlignment="1" applyProtection="1">
      <alignment horizontal="center" vertical="center" wrapText="1"/>
      <protection locked="0"/>
    </xf>
    <xf numFmtId="165" fontId="8" fillId="7" borderId="43" xfId="0" applyNumberFormat="1" applyFont="1" applyFill="1" applyBorder="1" applyAlignment="1" applyProtection="1">
      <alignment horizontal="center" vertical="center" wrapText="1"/>
      <protection locked="0"/>
    </xf>
    <xf numFmtId="165" fontId="8" fillId="18" borderId="43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68" xfId="0" applyFont="1" applyFill="1" applyBorder="1" applyAlignment="1" applyProtection="1">
      <alignment vertical="center"/>
      <protection locked="0"/>
    </xf>
    <xf numFmtId="0" fontId="6" fillId="0" borderId="35" xfId="0" applyFont="1" applyBorder="1" applyAlignment="1" applyProtection="1">
      <alignment vertical="center"/>
      <protection locked="0"/>
    </xf>
    <xf numFmtId="0" fontId="6" fillId="7" borderId="35" xfId="0" applyFont="1" applyFill="1" applyBorder="1" applyAlignment="1" applyProtection="1">
      <alignment vertical="center"/>
      <protection locked="0"/>
    </xf>
    <xf numFmtId="0" fontId="19" fillId="11" borderId="69" xfId="0" applyFont="1" applyFill="1" applyBorder="1" applyAlignment="1" applyProtection="1">
      <alignment horizontal="center" vertical="center" wrapText="1"/>
      <protection locked="0"/>
    </xf>
    <xf numFmtId="0" fontId="19" fillId="11" borderId="56" xfId="0" applyFont="1" applyFill="1" applyBorder="1" applyAlignment="1" applyProtection="1">
      <alignment horizontal="center" vertical="center" wrapText="1"/>
      <protection locked="0"/>
    </xf>
    <xf numFmtId="0" fontId="19" fillId="11" borderId="2" xfId="0" applyFont="1" applyFill="1" applyBorder="1" applyAlignment="1" applyProtection="1">
      <alignment horizontal="center" vertical="center" wrapText="1"/>
      <protection locked="0"/>
    </xf>
    <xf numFmtId="165" fontId="8" fillId="7" borderId="70" xfId="0" applyNumberFormat="1" applyFont="1" applyFill="1" applyBorder="1" applyAlignment="1" applyProtection="1">
      <alignment horizontal="center" vertical="center" wrapText="1"/>
      <protection locked="0"/>
    </xf>
    <xf numFmtId="0" fontId="8" fillId="7" borderId="71" xfId="0" applyFont="1" applyFill="1" applyBorder="1" applyAlignment="1" applyProtection="1">
      <alignment horizontal="center" vertical="center" wrapText="1"/>
      <protection locked="0"/>
    </xf>
    <xf numFmtId="0" fontId="8" fillId="7" borderId="72" xfId="0" applyFont="1" applyFill="1" applyBorder="1" applyAlignment="1" applyProtection="1">
      <alignment horizontal="left" vertical="center" wrapText="1"/>
      <protection locked="0"/>
    </xf>
    <xf numFmtId="0" fontId="8" fillId="7" borderId="73" xfId="0" applyFont="1" applyFill="1" applyBorder="1" applyAlignment="1" applyProtection="1">
      <alignment horizontal="left" vertical="center" wrapText="1"/>
      <protection locked="0"/>
    </xf>
    <xf numFmtId="0" fontId="0" fillId="7" borderId="73" xfId="0" applyFill="1" applyBorder="1" applyProtection="1">
      <protection locked="0"/>
    </xf>
    <xf numFmtId="0" fontId="6" fillId="7" borderId="73" xfId="0" applyFont="1" applyFill="1" applyBorder="1" applyAlignment="1" applyProtection="1">
      <alignment vertical="center"/>
      <protection locked="0"/>
    </xf>
    <xf numFmtId="0" fontId="6" fillId="7" borderId="74" xfId="0" applyFont="1" applyFill="1" applyBorder="1" applyAlignment="1" applyProtection="1">
      <alignment vertical="center"/>
      <protection locked="0"/>
    </xf>
    <xf numFmtId="0" fontId="4" fillId="18" borderId="7" xfId="3" applyFill="1" applyBorder="1" applyAlignment="1" applyProtection="1">
      <alignment wrapText="1"/>
      <protection locked="0"/>
    </xf>
    <xf numFmtId="0" fontId="8" fillId="19" borderId="7" xfId="0" applyFont="1" applyFill="1" applyBorder="1" applyAlignment="1" applyProtection="1">
      <alignment horizontal="left" vertical="center" wrapText="1"/>
      <protection locked="0"/>
    </xf>
    <xf numFmtId="0" fontId="8" fillId="20" borderId="46" xfId="0" applyFont="1" applyFill="1" applyBorder="1" applyAlignment="1" applyProtection="1">
      <alignment vertical="center" wrapText="1"/>
      <protection locked="0"/>
    </xf>
    <xf numFmtId="0" fontId="8" fillId="20" borderId="46" xfId="0" applyFont="1" applyFill="1" applyBorder="1" applyAlignment="1" applyProtection="1">
      <alignment horizontal="left" vertical="center" wrapText="1"/>
      <protection locked="0"/>
    </xf>
    <xf numFmtId="0" fontId="4" fillId="20" borderId="7" xfId="3" applyFill="1" applyBorder="1" applyAlignment="1" applyProtection="1">
      <protection locked="0"/>
    </xf>
    <xf numFmtId="0" fontId="8" fillId="21" borderId="46" xfId="0" applyFont="1" applyFill="1" applyBorder="1" applyAlignment="1" applyProtection="1">
      <alignment horizontal="left" vertical="center" wrapText="1"/>
      <protection locked="0"/>
    </xf>
    <xf numFmtId="0" fontId="8" fillId="22" borderId="46" xfId="0" applyFont="1" applyFill="1" applyBorder="1" applyAlignment="1" applyProtection="1">
      <alignment horizontal="left" vertical="center" wrapText="1"/>
      <protection locked="0"/>
    </xf>
    <xf numFmtId="0" fontId="8" fillId="22" borderId="46" xfId="0" applyFont="1" applyFill="1" applyBorder="1" applyAlignment="1" applyProtection="1">
      <alignment vertical="center" wrapText="1"/>
      <protection locked="0"/>
    </xf>
    <xf numFmtId="0" fontId="4" fillId="22" borderId="7" xfId="3" applyFill="1" applyBorder="1" applyAlignment="1" applyProtection="1">
      <protection locked="0"/>
    </xf>
    <xf numFmtId="0" fontId="6" fillId="0" borderId="64" xfId="0" applyFont="1" applyBorder="1" applyAlignment="1" applyProtection="1">
      <alignment vertical="center" wrapText="1"/>
      <protection locked="0"/>
    </xf>
    <xf numFmtId="0" fontId="8" fillId="19" borderId="39" xfId="0" applyFont="1" applyFill="1" applyBorder="1" applyAlignment="1" applyProtection="1">
      <alignment horizontal="left" vertical="center" wrapText="1"/>
      <protection locked="0"/>
    </xf>
    <xf numFmtId="0" fontId="8" fillId="7" borderId="3" xfId="0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vertical="center"/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8" fillId="7" borderId="17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7" borderId="7" xfId="0" applyFont="1" applyFill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0" fontId="8" fillId="0" borderId="16" xfId="0" applyFont="1" applyBorder="1" applyAlignment="1" applyProtection="1">
      <alignment vertical="center"/>
      <protection locked="0"/>
    </xf>
    <xf numFmtId="0" fontId="8" fillId="7" borderId="38" xfId="0" applyFont="1" applyFill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7" borderId="39" xfId="0" applyFont="1" applyFill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vertical="center"/>
      <protection locked="0"/>
    </xf>
    <xf numFmtId="0" fontId="8" fillId="0" borderId="39" xfId="0" applyFont="1" applyBorder="1" applyAlignment="1" applyProtection="1">
      <alignment vertical="center"/>
      <protection locked="0"/>
    </xf>
    <xf numFmtId="0" fontId="8" fillId="0" borderId="48" xfId="0" applyFont="1" applyBorder="1" applyAlignment="1" applyProtection="1">
      <alignment vertical="center"/>
      <protection locked="0"/>
    </xf>
    <xf numFmtId="0" fontId="9" fillId="7" borderId="58" xfId="0" applyFont="1" applyFill="1" applyBorder="1" applyAlignment="1" applyProtection="1">
      <alignment horizontal="center" vertical="center"/>
      <protection locked="0"/>
    </xf>
    <xf numFmtId="0" fontId="9" fillId="5" borderId="58" xfId="0" applyFont="1" applyFill="1" applyBorder="1" applyAlignment="1" applyProtection="1">
      <alignment horizontal="center" vertical="center"/>
      <protection locked="0"/>
    </xf>
    <xf numFmtId="0" fontId="8" fillId="5" borderId="26" xfId="0" applyFont="1" applyFill="1" applyBorder="1" applyAlignment="1" applyProtection="1">
      <alignment vertical="center"/>
      <protection locked="0"/>
    </xf>
    <xf numFmtId="0" fontId="8" fillId="5" borderId="11" xfId="0" applyFont="1" applyFill="1" applyBorder="1" applyAlignment="1" applyProtection="1">
      <alignment vertical="center"/>
      <protection locked="0"/>
    </xf>
    <xf numFmtId="0" fontId="8" fillId="5" borderId="14" xfId="0" applyFont="1" applyFill="1" applyBorder="1" applyAlignment="1" applyProtection="1">
      <alignment vertical="center"/>
      <protection locked="0"/>
    </xf>
    <xf numFmtId="0" fontId="16" fillId="0" borderId="25" xfId="0" applyFont="1" applyBorder="1" applyAlignment="1" applyProtection="1">
      <alignment horizontal="center" vertical="center" wrapText="1"/>
      <protection locked="0"/>
    </xf>
    <xf numFmtId="0" fontId="19" fillId="11" borderId="28" xfId="0" applyFont="1" applyFill="1" applyBorder="1" applyAlignment="1" applyProtection="1">
      <alignment horizontal="center" vertical="center" wrapText="1"/>
      <protection locked="0"/>
    </xf>
    <xf numFmtId="0" fontId="19" fillId="11" borderId="30" xfId="0" applyFont="1" applyFill="1" applyBorder="1" applyAlignment="1" applyProtection="1">
      <alignment horizontal="center" vertical="center" wrapText="1"/>
      <protection locked="0"/>
    </xf>
    <xf numFmtId="1" fontId="6" fillId="7" borderId="22" xfId="0" applyNumberFormat="1" applyFont="1" applyFill="1" applyBorder="1" applyAlignment="1" applyProtection="1">
      <alignment horizontal="center" vertical="center"/>
      <protection locked="0"/>
    </xf>
    <xf numFmtId="165" fontId="8" fillId="7" borderId="3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54" xfId="0" applyNumberFormat="1" applyFont="1" applyBorder="1" applyAlignment="1" applyProtection="1">
      <alignment horizontal="center" vertical="center" wrapText="1"/>
      <protection locked="0"/>
    </xf>
    <xf numFmtId="165" fontId="8" fillId="0" borderId="17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" fontId="6" fillId="7" borderId="54" xfId="0" applyNumberFormat="1" applyFont="1" applyFill="1" applyBorder="1" applyAlignment="1" applyProtection="1">
      <alignment horizontal="center" vertical="center" wrapText="1"/>
      <protection locked="0"/>
    </xf>
    <xf numFmtId="165" fontId="8" fillId="7" borderId="17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54" xfId="0" applyNumberFormat="1" applyFont="1" applyBorder="1" applyAlignment="1" applyProtection="1">
      <alignment horizontal="center" vertical="center"/>
      <protection locked="0"/>
    </xf>
    <xf numFmtId="1" fontId="6" fillId="7" borderId="54" xfId="0" applyNumberFormat="1" applyFont="1" applyFill="1" applyBorder="1" applyAlignment="1" applyProtection="1">
      <alignment horizontal="center" vertical="center"/>
      <protection locked="0"/>
    </xf>
    <xf numFmtId="0" fontId="4" fillId="21" borderId="7" xfId="3" applyFill="1" applyBorder="1" applyAlignment="1" applyProtection="1">
      <protection locked="0"/>
    </xf>
    <xf numFmtId="1" fontId="6" fillId="0" borderId="66" xfId="0" applyNumberFormat="1" applyFont="1" applyBorder="1" applyAlignment="1" applyProtection="1">
      <alignment horizontal="center" vertical="center"/>
      <protection locked="0"/>
    </xf>
    <xf numFmtId="165" fontId="8" fillId="0" borderId="38" xfId="0" applyNumberFormat="1" applyFont="1" applyBorder="1" applyAlignment="1" applyProtection="1">
      <alignment horizontal="center" vertical="center" wrapText="1"/>
      <protection locked="0"/>
    </xf>
    <xf numFmtId="0" fontId="8" fillId="0" borderId="48" xfId="0" applyFont="1" applyBorder="1" applyAlignment="1" applyProtection="1">
      <alignment horizontal="center" vertical="center" wrapText="1"/>
      <protection locked="0"/>
    </xf>
    <xf numFmtId="0" fontId="4" fillId="9" borderId="7" xfId="3" applyFill="1" applyBorder="1" applyAlignment="1" applyProtection="1">
      <alignment wrapText="1"/>
      <protection locked="0"/>
    </xf>
    <xf numFmtId="0" fontId="4" fillId="19" borderId="41" xfId="3" applyFill="1" applyBorder="1" applyAlignment="1" applyProtection="1">
      <protection locked="0"/>
    </xf>
    <xf numFmtId="0" fontId="4" fillId="13" borderId="7" xfId="3" applyFill="1" applyBorder="1" applyAlignment="1" applyProtection="1">
      <protection locked="0"/>
    </xf>
    <xf numFmtId="0" fontId="8" fillId="13" borderId="7" xfId="0" applyFont="1" applyFill="1" applyBorder="1" applyAlignment="1" applyProtection="1">
      <alignment horizontal="left" vertical="center" wrapText="1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60" xfId="0" applyFont="1" applyBorder="1" applyAlignment="1" applyProtection="1">
      <alignment vertical="center" wrapText="1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8" fillId="0" borderId="49" xfId="0" applyFont="1" applyBorder="1" applyAlignment="1" applyProtection="1">
      <alignment horizontal="left" vertical="center" wrapText="1"/>
      <protection locked="0"/>
    </xf>
    <xf numFmtId="0" fontId="8" fillId="0" borderId="58" xfId="0" applyFont="1" applyBorder="1" applyAlignment="1" applyProtection="1">
      <alignment horizontal="left" vertical="center" wrapText="1"/>
      <protection locked="0"/>
    </xf>
    <xf numFmtId="0" fontId="8" fillId="0" borderId="62" xfId="0" applyFont="1" applyBorder="1" applyAlignment="1" applyProtection="1">
      <alignment horizontal="left" vertical="center" wrapText="1"/>
      <protection locked="0"/>
    </xf>
    <xf numFmtId="0" fontId="0" fillId="0" borderId="58" xfId="0" applyBorder="1" applyProtection="1">
      <protection locked="0"/>
    </xf>
    <xf numFmtId="0" fontId="14" fillId="0" borderId="58" xfId="3" applyFont="1" applyFill="1" applyBorder="1" applyAlignment="1" applyProtection="1">
      <alignment horizontal="left" vertical="center" wrapText="1"/>
      <protection locked="0"/>
    </xf>
    <xf numFmtId="0" fontId="6" fillId="0" borderId="58" xfId="0" applyFont="1" applyBorder="1" applyAlignment="1" applyProtection="1">
      <alignment vertical="center"/>
      <protection locked="0"/>
    </xf>
    <xf numFmtId="0" fontId="8" fillId="9" borderId="62" xfId="0" applyFont="1" applyFill="1" applyBorder="1" applyAlignment="1" applyProtection="1">
      <alignment horizontal="left" vertical="center" wrapText="1"/>
      <protection locked="0"/>
    </xf>
    <xf numFmtId="165" fontId="8" fillId="0" borderId="3" xfId="0" applyNumberFormat="1" applyFont="1" applyBorder="1" applyAlignment="1" applyProtection="1">
      <alignment horizontal="center" vertical="center" wrapText="1"/>
      <protection locked="0"/>
    </xf>
    <xf numFmtId="0" fontId="8" fillId="0" borderId="68" xfId="0" applyFont="1" applyBorder="1" applyAlignment="1" applyProtection="1">
      <alignment horizontal="center" vertical="center" wrapText="1"/>
      <protection locked="0"/>
    </xf>
    <xf numFmtId="0" fontId="8" fillId="0" borderId="35" xfId="0" applyFont="1" applyBorder="1" applyAlignment="1" applyProtection="1">
      <alignment horizontal="center" vertical="center" wrapText="1"/>
      <protection locked="0"/>
    </xf>
    <xf numFmtId="0" fontId="8" fillId="7" borderId="35" xfId="0" applyFont="1" applyFill="1" applyBorder="1" applyAlignment="1" applyProtection="1">
      <alignment horizontal="center" vertical="center" wrapText="1"/>
      <protection locked="0"/>
    </xf>
    <xf numFmtId="165" fontId="8" fillId="6" borderId="17" xfId="0" applyNumberFormat="1" applyFont="1" applyFill="1" applyBorder="1" applyAlignment="1" applyProtection="1">
      <alignment horizontal="center" vertical="center" wrapText="1"/>
      <protection locked="0"/>
    </xf>
    <xf numFmtId="0" fontId="8" fillId="6" borderId="35" xfId="0" applyFont="1" applyFill="1" applyBorder="1" applyAlignment="1" applyProtection="1">
      <alignment horizontal="center" vertical="center" wrapText="1"/>
      <protection locked="0"/>
    </xf>
    <xf numFmtId="165" fontId="6" fillId="0" borderId="22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8" fillId="0" borderId="54" xfId="0" applyNumberFormat="1" applyFont="1" applyBorder="1" applyAlignment="1">
      <alignment horizontal="center" vertical="center"/>
    </xf>
    <xf numFmtId="1" fontId="8" fillId="7" borderId="54" xfId="0" applyNumberFormat="1" applyFont="1" applyFill="1" applyBorder="1" applyAlignment="1">
      <alignment horizontal="center" vertical="center"/>
    </xf>
    <xf numFmtId="165" fontId="6" fillId="6" borderId="54" xfId="0" applyNumberFormat="1" applyFont="1" applyFill="1" applyBorder="1" applyAlignment="1">
      <alignment horizontal="center" vertical="center"/>
    </xf>
    <xf numFmtId="4" fontId="8" fillId="6" borderId="54" xfId="0" applyNumberFormat="1" applyFont="1" applyFill="1" applyBorder="1" applyAlignment="1">
      <alignment horizontal="center" vertical="center"/>
    </xf>
    <xf numFmtId="1" fontId="8" fillId="6" borderId="54" xfId="0" applyNumberFormat="1" applyFont="1" applyFill="1" applyBorder="1" applyAlignment="1">
      <alignment horizontal="center" vertical="center"/>
    </xf>
    <xf numFmtId="1" fontId="6" fillId="6" borderId="54" xfId="0" applyNumberFormat="1" applyFont="1" applyFill="1" applyBorder="1" applyAlignment="1">
      <alignment horizontal="center" vertical="center"/>
    </xf>
    <xf numFmtId="165" fontId="6" fillId="0" borderId="66" xfId="0" applyNumberFormat="1" applyFont="1" applyBorder="1" applyAlignment="1">
      <alignment horizontal="center" vertical="center"/>
    </xf>
    <xf numFmtId="4" fontId="8" fillId="0" borderId="66" xfId="0" applyNumberFormat="1" applyFont="1" applyBorder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1" fontId="6" fillId="0" borderId="66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23" borderId="7" xfId="0" applyFont="1" applyFill="1" applyBorder="1" applyAlignment="1" applyProtection="1">
      <alignment horizontal="left" vertical="center" wrapText="1"/>
      <protection locked="0"/>
    </xf>
    <xf numFmtId="0" fontId="13" fillId="7" borderId="7" xfId="3" applyFont="1" applyFill="1" applyBorder="1" applyAlignment="1" applyProtection="1">
      <alignment horizontal="left" vertical="center" wrapText="1"/>
      <protection locked="0"/>
    </xf>
    <xf numFmtId="0" fontId="0" fillId="7" borderId="0" xfId="0" applyFill="1"/>
    <xf numFmtId="0" fontId="20" fillId="0" borderId="0" xfId="0" applyFont="1" applyProtection="1">
      <protection locked="0"/>
    </xf>
    <xf numFmtId="1" fontId="6" fillId="7" borderId="66" xfId="0" applyNumberFormat="1" applyFont="1" applyFill="1" applyBorder="1" applyAlignment="1">
      <alignment horizontal="center" vertical="center"/>
    </xf>
    <xf numFmtId="0" fontId="8" fillId="7" borderId="47" xfId="0" applyFont="1" applyFill="1" applyBorder="1" applyAlignment="1" applyProtection="1">
      <alignment vertical="center" wrapText="1"/>
      <protection locked="0"/>
    </xf>
    <xf numFmtId="0" fontId="0" fillId="7" borderId="41" xfId="0" applyFill="1" applyBorder="1"/>
    <xf numFmtId="0" fontId="14" fillId="7" borderId="39" xfId="3" applyFont="1" applyFill="1" applyBorder="1" applyAlignment="1" applyProtection="1">
      <alignment horizontal="left" vertical="center" wrapText="1"/>
      <protection locked="0"/>
    </xf>
    <xf numFmtId="0" fontId="10" fillId="0" borderId="54" xfId="0" applyFont="1" applyBorder="1" applyAlignment="1">
      <alignment vertical="center"/>
    </xf>
    <xf numFmtId="1" fontId="8" fillId="0" borderId="7" xfId="0" applyNumberFormat="1" applyFont="1" applyBorder="1" applyAlignment="1">
      <alignment vertical="center"/>
    </xf>
    <xf numFmtId="0" fontId="6" fillId="0" borderId="0" xfId="0" applyFont="1" applyAlignment="1">
      <alignment wrapText="1"/>
    </xf>
    <xf numFmtId="0" fontId="7" fillId="10" borderId="28" xfId="0" applyFont="1" applyFill="1" applyBorder="1" applyAlignment="1">
      <alignment horizontal="center" vertical="center"/>
    </xf>
    <xf numFmtId="166" fontId="6" fillId="6" borderId="3" xfId="0" applyNumberFormat="1" applyFont="1" applyFill="1" applyBorder="1"/>
    <xf numFmtId="0" fontId="6" fillId="6" borderId="33" xfId="0" applyFont="1" applyFill="1" applyBorder="1"/>
    <xf numFmtId="0" fontId="6" fillId="6" borderId="67" xfId="0" applyFont="1" applyFill="1" applyBorder="1" applyProtection="1">
      <protection locked="0"/>
    </xf>
    <xf numFmtId="3" fontId="6" fillId="6" borderId="68" xfId="0" applyNumberFormat="1" applyFont="1" applyFill="1" applyBorder="1"/>
    <xf numFmtId="3" fontId="6" fillId="6" borderId="67" xfId="0" applyNumberFormat="1" applyFont="1" applyFill="1" applyBorder="1" applyAlignment="1" applyProtection="1">
      <alignment horizontal="center" vertical="center"/>
      <protection locked="0"/>
    </xf>
    <xf numFmtId="166" fontId="6" fillId="7" borderId="17" xfId="0" applyNumberFormat="1" applyFont="1" applyFill="1" applyBorder="1"/>
    <xf numFmtId="0" fontId="6" fillId="7" borderId="36" xfId="0" applyFont="1" applyFill="1" applyBorder="1"/>
    <xf numFmtId="3" fontId="6" fillId="7" borderId="35" xfId="0" applyNumberFormat="1" applyFont="1" applyFill="1" applyBorder="1"/>
    <xf numFmtId="166" fontId="6" fillId="0" borderId="17" xfId="0" applyNumberFormat="1" applyFont="1" applyBorder="1"/>
    <xf numFmtId="0" fontId="6" fillId="0" borderId="36" xfId="0" applyFont="1" applyBorder="1"/>
    <xf numFmtId="3" fontId="6" fillId="0" borderId="35" xfId="0" applyNumberFormat="1" applyFont="1" applyBorder="1"/>
    <xf numFmtId="166" fontId="6" fillId="7" borderId="38" xfId="0" applyNumberFormat="1" applyFont="1" applyFill="1" applyBorder="1"/>
    <xf numFmtId="0" fontId="6" fillId="7" borderId="41" xfId="0" applyFont="1" applyFill="1" applyBorder="1"/>
    <xf numFmtId="3" fontId="6" fillId="7" borderId="40" xfId="0" applyNumberFormat="1" applyFont="1" applyFill="1" applyBorder="1"/>
    <xf numFmtId="166" fontId="7" fillId="10" borderId="20" xfId="0" applyNumberFormat="1" applyFont="1" applyFill="1" applyBorder="1"/>
    <xf numFmtId="0" fontId="6" fillId="10" borderId="18" xfId="0" applyFont="1" applyFill="1" applyBorder="1"/>
    <xf numFmtId="3" fontId="7" fillId="10" borderId="20" xfId="0" applyNumberFormat="1" applyFont="1" applyFill="1" applyBorder="1"/>
    <xf numFmtId="3" fontId="7" fillId="10" borderId="24" xfId="0" applyNumberFormat="1" applyFont="1" applyFill="1" applyBorder="1"/>
    <xf numFmtId="0" fontId="4" fillId="0" borderId="18" xfId="3" applyFill="1" applyBorder="1" applyAlignment="1" applyProtection="1">
      <protection locked="0"/>
    </xf>
    <xf numFmtId="165" fontId="6" fillId="0" borderId="0" xfId="0" applyNumberFormat="1" applyFont="1" applyAlignment="1" applyProtection="1">
      <alignment horizontal="left" vertical="center"/>
      <protection locked="0"/>
    </xf>
    <xf numFmtId="165" fontId="6" fillId="0" borderId="46" xfId="0" applyNumberFormat="1" applyFont="1" applyBorder="1" applyAlignment="1">
      <alignment horizontal="left" vertical="center"/>
    </xf>
    <xf numFmtId="165" fontId="6" fillId="0" borderId="36" xfId="0" applyNumberFormat="1" applyFont="1" applyBorder="1" applyAlignment="1">
      <alignment horizontal="left" vertical="center"/>
    </xf>
    <xf numFmtId="165" fontId="6" fillId="0" borderId="37" xfId="0" applyNumberFormat="1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5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165" fontId="6" fillId="0" borderId="47" xfId="0" applyNumberFormat="1" applyFont="1" applyBorder="1" applyAlignment="1">
      <alignment horizontal="left" vertical="center"/>
    </xf>
    <xf numFmtId="165" fontId="6" fillId="0" borderId="41" xfId="0" applyNumberFormat="1" applyFont="1" applyBorder="1" applyAlignment="1">
      <alignment horizontal="left" vertical="center"/>
    </xf>
    <xf numFmtId="165" fontId="6" fillId="0" borderId="42" xfId="0" applyNumberFormat="1" applyFont="1" applyBorder="1" applyAlignment="1">
      <alignment horizontal="left" vertical="center"/>
    </xf>
    <xf numFmtId="165" fontId="6" fillId="0" borderId="20" xfId="0" applyNumberFormat="1" applyFont="1" applyBorder="1" applyAlignment="1">
      <alignment horizontal="left" vertical="center"/>
    </xf>
    <xf numFmtId="165" fontId="6" fillId="0" borderId="18" xfId="0" applyNumberFormat="1" applyFont="1" applyBorder="1" applyAlignment="1">
      <alignment horizontal="left" vertical="center"/>
    </xf>
    <xf numFmtId="165" fontId="6" fillId="0" borderId="24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165" fontId="6" fillId="0" borderId="21" xfId="0" applyNumberFormat="1" applyFont="1" applyBorder="1" applyAlignment="1">
      <alignment horizontal="left" vertical="center"/>
    </xf>
    <xf numFmtId="0" fontId="6" fillId="0" borderId="60" xfId="0" applyFont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  <xf numFmtId="0" fontId="6" fillId="0" borderId="54" xfId="0" applyFont="1" applyBorder="1" applyAlignment="1">
      <alignment horizontal="left" vertical="center"/>
    </xf>
    <xf numFmtId="165" fontId="7" fillId="2" borderId="2" xfId="0" applyNumberFormat="1" applyFont="1" applyFill="1" applyBorder="1" applyAlignment="1">
      <alignment horizontal="left" vertical="center"/>
    </xf>
    <xf numFmtId="165" fontId="7" fillId="2" borderId="0" xfId="0" applyNumberFormat="1" applyFont="1" applyFill="1" applyAlignment="1">
      <alignment horizontal="left" vertical="center"/>
    </xf>
    <xf numFmtId="165" fontId="7" fillId="2" borderId="21" xfId="0" applyNumberFormat="1" applyFont="1" applyFill="1" applyBorder="1" applyAlignment="1">
      <alignment horizontal="left" vertical="center"/>
    </xf>
    <xf numFmtId="165" fontId="6" fillId="0" borderId="19" xfId="0" applyNumberFormat="1" applyFont="1" applyBorder="1" applyAlignment="1">
      <alignment horizontal="left" vertical="center" wrapText="1"/>
    </xf>
    <xf numFmtId="165" fontId="6" fillId="0" borderId="25" xfId="0" applyNumberFormat="1" applyFont="1" applyBorder="1" applyAlignment="1">
      <alignment horizontal="left" vertical="center" wrapText="1"/>
    </xf>
    <xf numFmtId="165" fontId="6" fillId="0" borderId="23" xfId="0" applyNumberFormat="1" applyFont="1" applyBorder="1" applyAlignment="1">
      <alignment horizontal="left" vertical="center" wrapText="1"/>
    </xf>
    <xf numFmtId="165" fontId="6" fillId="0" borderId="20" xfId="0" applyNumberFormat="1" applyFont="1" applyBorder="1" applyAlignment="1">
      <alignment horizontal="left" vertical="center" wrapText="1"/>
    </xf>
    <xf numFmtId="165" fontId="6" fillId="0" borderId="18" xfId="0" applyNumberFormat="1" applyFont="1" applyBorder="1" applyAlignment="1">
      <alignment horizontal="left" vertical="center" wrapText="1"/>
    </xf>
    <xf numFmtId="165" fontId="6" fillId="0" borderId="24" xfId="0" applyNumberFormat="1" applyFont="1" applyBorder="1" applyAlignment="1">
      <alignment horizontal="left" vertical="center" wrapText="1"/>
    </xf>
    <xf numFmtId="165" fontId="6" fillId="0" borderId="60" xfId="0" applyNumberFormat="1" applyFont="1" applyBorder="1" applyAlignment="1">
      <alignment horizontal="left" vertical="center"/>
    </xf>
    <xf numFmtId="165" fontId="6" fillId="0" borderId="51" xfId="0" applyNumberFormat="1" applyFont="1" applyBorder="1" applyAlignment="1">
      <alignment horizontal="left" vertical="center"/>
    </xf>
    <xf numFmtId="165" fontId="6" fillId="0" borderId="52" xfId="0" applyNumberFormat="1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7" fillId="0" borderId="54" xfId="0" applyFont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left" vertical="center"/>
    </xf>
    <xf numFmtId="0" fontId="7" fillId="6" borderId="54" xfId="0" applyFont="1" applyFill="1" applyBorder="1" applyAlignment="1">
      <alignment horizontal="center" vertical="center"/>
    </xf>
    <xf numFmtId="0" fontId="6" fillId="6" borderId="54" xfId="0" applyFont="1" applyFill="1" applyBorder="1" applyAlignment="1">
      <alignment horizontal="left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2" borderId="49" xfId="0" applyFont="1" applyFill="1" applyBorder="1" applyAlignment="1">
      <alignment horizontal="left"/>
    </xf>
    <xf numFmtId="0" fontId="6" fillId="2" borderId="62" xfId="0" applyFont="1" applyFill="1" applyBorder="1" applyAlignment="1">
      <alignment horizontal="left"/>
    </xf>
    <xf numFmtId="0" fontId="6" fillId="2" borderId="50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left" wrapText="1"/>
    </xf>
    <xf numFmtId="0" fontId="7" fillId="2" borderId="33" xfId="0" applyFont="1" applyFill="1" applyBorder="1" applyAlignment="1">
      <alignment horizontal="left" wrapText="1"/>
    </xf>
    <xf numFmtId="0" fontId="7" fillId="2" borderId="34" xfId="0" applyFont="1" applyFill="1" applyBorder="1" applyAlignment="1">
      <alignment horizontal="left" wrapText="1"/>
    </xf>
    <xf numFmtId="0" fontId="7" fillId="0" borderId="2" xfId="0" applyFont="1" applyBorder="1" applyAlignment="1" applyProtection="1">
      <alignment horizontal="center" wrapText="1"/>
      <protection locked="0"/>
    </xf>
    <xf numFmtId="0" fontId="6" fillId="2" borderId="17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35" xfId="0" applyFont="1" applyFill="1" applyBorder="1" applyAlignment="1">
      <alignment horizontal="left"/>
    </xf>
    <xf numFmtId="0" fontId="6" fillId="2" borderId="46" xfId="0" applyFont="1" applyFill="1" applyBorder="1" applyAlignment="1">
      <alignment horizontal="left" wrapText="1"/>
    </xf>
    <xf numFmtId="0" fontId="6" fillId="2" borderId="36" xfId="0" applyFont="1" applyFill="1" applyBorder="1" applyAlignment="1">
      <alignment horizontal="left" wrapText="1"/>
    </xf>
    <xf numFmtId="0" fontId="6" fillId="2" borderId="37" xfId="0" applyFont="1" applyFill="1" applyBorder="1" applyAlignment="1">
      <alignment horizontal="left" wrapText="1"/>
    </xf>
    <xf numFmtId="0" fontId="7" fillId="0" borderId="0" xfId="0" applyFont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2" borderId="47" xfId="0" applyFont="1" applyFill="1" applyBorder="1" applyAlignment="1">
      <alignment horizontal="left" wrapText="1"/>
    </xf>
    <xf numFmtId="0" fontId="7" fillId="2" borderId="41" xfId="0" applyFont="1" applyFill="1" applyBorder="1" applyAlignment="1">
      <alignment horizontal="left" wrapText="1"/>
    </xf>
    <xf numFmtId="0" fontId="7" fillId="2" borderId="42" xfId="0" applyFont="1" applyFill="1" applyBorder="1" applyAlignment="1">
      <alignment horizontal="left" wrapText="1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16" xfId="0" applyFont="1" applyBorder="1" applyAlignment="1" applyProtection="1">
      <alignment horizontal="left" vertical="center"/>
      <protection locked="0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48" xfId="0" applyFont="1" applyBorder="1" applyAlignment="1" applyProtection="1">
      <alignment horizontal="left" vertical="center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0" fontId="7" fillId="2" borderId="27" xfId="0" applyFont="1" applyFill="1" applyBorder="1" applyAlignment="1" applyProtection="1">
      <alignment horizontal="center"/>
      <protection locked="0"/>
    </xf>
    <xf numFmtId="0" fontId="6" fillId="7" borderId="7" xfId="0" applyFont="1" applyFill="1" applyBorder="1" applyAlignment="1" applyProtection="1">
      <alignment horizontal="left" vertical="center"/>
      <protection locked="0"/>
    </xf>
    <xf numFmtId="0" fontId="6" fillId="7" borderId="16" xfId="0" applyFont="1" applyFill="1" applyBorder="1" applyAlignment="1" applyProtection="1">
      <alignment horizontal="left" vertical="center"/>
      <protection locked="0"/>
    </xf>
    <xf numFmtId="0" fontId="6" fillId="6" borderId="7" xfId="0" applyFont="1" applyFill="1" applyBorder="1" applyAlignment="1" applyProtection="1">
      <alignment horizontal="left" vertical="center"/>
      <protection locked="0"/>
    </xf>
    <xf numFmtId="0" fontId="6" fillId="6" borderId="16" xfId="0" applyFont="1" applyFill="1" applyBorder="1" applyAlignment="1" applyProtection="1">
      <alignment horizontal="left" vertical="center"/>
      <protection locked="0"/>
    </xf>
    <xf numFmtId="0" fontId="7" fillId="10" borderId="11" xfId="0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2" borderId="19" xfId="0" applyFont="1" applyFill="1" applyBorder="1" applyAlignment="1" applyProtection="1">
      <alignment horizontal="left" wrapText="1"/>
      <protection locked="0"/>
    </xf>
    <xf numFmtId="0" fontId="5" fillId="2" borderId="25" xfId="0" applyFont="1" applyFill="1" applyBorder="1" applyAlignment="1" applyProtection="1">
      <alignment horizontal="left" wrapText="1"/>
      <protection locked="0"/>
    </xf>
    <xf numFmtId="0" fontId="5" fillId="2" borderId="23" xfId="0" applyFont="1" applyFill="1" applyBorder="1" applyAlignment="1" applyProtection="1">
      <alignment horizontal="left" wrapText="1"/>
      <protection locked="0"/>
    </xf>
    <xf numFmtId="0" fontId="1" fillId="2" borderId="8" xfId="0" applyFont="1" applyFill="1" applyBorder="1" applyAlignment="1" applyProtection="1">
      <alignment wrapText="1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1" fillId="2" borderId="27" xfId="0" applyFont="1" applyFill="1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5" fillId="2" borderId="21" xfId="0" applyFont="1" applyFill="1" applyBorder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wrapText="1"/>
      <protection locked="0"/>
    </xf>
    <xf numFmtId="0" fontId="5" fillId="2" borderId="18" xfId="0" applyFont="1" applyFill="1" applyBorder="1" applyAlignment="1" applyProtection="1">
      <alignment horizontal="left" wrapText="1"/>
      <protection locked="0"/>
    </xf>
    <xf numFmtId="0" fontId="5" fillId="2" borderId="24" xfId="0" applyFont="1" applyFill="1" applyBorder="1" applyAlignment="1" applyProtection="1">
      <alignment horizontal="left" wrapText="1"/>
      <protection locked="0"/>
    </xf>
    <xf numFmtId="0" fontId="9" fillId="2" borderId="29" xfId="0" applyFont="1" applyFill="1" applyBorder="1" applyAlignment="1" applyProtection="1">
      <alignment horizontal="center" vertical="center" textRotation="90" wrapText="1"/>
      <protection locked="0"/>
    </xf>
    <xf numFmtId="0" fontId="9" fillId="2" borderId="31" xfId="0" applyFont="1" applyFill="1" applyBorder="1" applyAlignment="1" applyProtection="1">
      <alignment horizontal="center" vertical="center" textRotation="90"/>
      <protection locked="0"/>
    </xf>
    <xf numFmtId="0" fontId="9" fillId="2" borderId="58" xfId="0" applyFont="1" applyFill="1" applyBorder="1" applyAlignment="1" applyProtection="1">
      <alignment horizontal="center" vertical="center" textRotation="90"/>
      <protection locked="0"/>
    </xf>
    <xf numFmtId="0" fontId="9" fillId="2" borderId="30" xfId="0" applyFont="1" applyFill="1" applyBorder="1" applyAlignment="1" applyProtection="1">
      <alignment horizontal="center" vertical="center" textRotation="90" wrapText="1"/>
      <protection locked="0"/>
    </xf>
    <xf numFmtId="0" fontId="9" fillId="2" borderId="56" xfId="0" applyFont="1" applyFill="1" applyBorder="1" applyAlignment="1" applyProtection="1">
      <alignment horizontal="center" vertical="center" textRotation="90"/>
      <protection locked="0"/>
    </xf>
    <xf numFmtId="0" fontId="9" fillId="2" borderId="59" xfId="0" applyFont="1" applyFill="1" applyBorder="1" applyAlignment="1" applyProtection="1">
      <alignment horizontal="center" vertical="center" textRotation="90"/>
      <protection locked="0"/>
    </xf>
    <xf numFmtId="0" fontId="11" fillId="5" borderId="19" xfId="0" applyFont="1" applyFill="1" applyBorder="1" applyAlignment="1" applyProtection="1">
      <alignment horizontal="center" vertical="center" wrapText="1"/>
      <protection locked="0"/>
    </xf>
    <xf numFmtId="0" fontId="11" fillId="5" borderId="25" xfId="0" applyFont="1" applyFill="1" applyBorder="1" applyAlignment="1" applyProtection="1">
      <alignment horizontal="center" vertical="center" wrapText="1"/>
      <protection locked="0"/>
    </xf>
    <xf numFmtId="0" fontId="11" fillId="5" borderId="23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0" fontId="11" fillId="5" borderId="0" xfId="0" applyFont="1" applyFill="1" applyAlignment="1" applyProtection="1">
      <alignment horizontal="center" vertical="center" wrapText="1"/>
      <protection locked="0"/>
    </xf>
    <xf numFmtId="0" fontId="11" fillId="5" borderId="21" xfId="0" applyFont="1" applyFill="1" applyBorder="1" applyAlignment="1" applyProtection="1">
      <alignment horizontal="center" vertical="center" wrapText="1"/>
      <protection locked="0"/>
    </xf>
    <xf numFmtId="0" fontId="11" fillId="5" borderId="20" xfId="0" applyFont="1" applyFill="1" applyBorder="1" applyAlignment="1" applyProtection="1">
      <alignment horizontal="center" vertical="center" wrapText="1"/>
      <protection locked="0"/>
    </xf>
    <xf numFmtId="0" fontId="11" fillId="5" borderId="18" xfId="0" applyFont="1" applyFill="1" applyBorder="1" applyAlignment="1" applyProtection="1">
      <alignment horizontal="center" vertical="center" wrapText="1"/>
      <protection locked="0"/>
    </xf>
    <xf numFmtId="0" fontId="11" fillId="5" borderId="24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/>
      <protection locked="0"/>
    </xf>
    <xf numFmtId="17" fontId="9" fillId="2" borderId="8" xfId="1" applyNumberFormat="1" applyFont="1" applyFill="1" applyBorder="1" applyAlignment="1" applyProtection="1">
      <alignment horizontal="center" vertical="center"/>
      <protection locked="0"/>
    </xf>
    <xf numFmtId="0" fontId="9" fillId="2" borderId="6" xfId="1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 applyProtection="1">
      <alignment horizontal="center" vertical="center" textRotation="90" wrapText="1"/>
      <protection locked="0"/>
    </xf>
    <xf numFmtId="0" fontId="9" fillId="2" borderId="32" xfId="0" applyFont="1" applyFill="1" applyBorder="1" applyAlignment="1" applyProtection="1">
      <alignment horizontal="center" vertical="center" textRotation="90"/>
      <protection locked="0"/>
    </xf>
    <xf numFmtId="0" fontId="9" fillId="2" borderId="57" xfId="0" applyFont="1" applyFill="1" applyBorder="1" applyAlignment="1" applyProtection="1">
      <alignment horizontal="center" vertical="center" textRotation="90"/>
      <protection locked="0"/>
    </xf>
    <xf numFmtId="0" fontId="9" fillId="2" borderId="31" xfId="0" applyFont="1" applyFill="1" applyBorder="1" applyAlignment="1" applyProtection="1">
      <alignment horizontal="center" vertical="center" textRotation="90" wrapText="1"/>
      <protection locked="0"/>
    </xf>
    <xf numFmtId="0" fontId="9" fillId="2" borderId="58" xfId="0" applyFont="1" applyFill="1" applyBorder="1" applyAlignment="1" applyProtection="1">
      <alignment horizontal="center" vertical="center" textRotation="90" wrapText="1"/>
      <protection locked="0"/>
    </xf>
    <xf numFmtId="0" fontId="6" fillId="6" borderId="7" xfId="0" applyFont="1" applyFill="1" applyBorder="1" applyAlignment="1" applyProtection="1">
      <alignment horizontal="left" vertical="top"/>
      <protection locked="0"/>
    </xf>
    <xf numFmtId="0" fontId="6" fillId="7" borderId="39" xfId="0" applyFont="1" applyFill="1" applyBorder="1" applyAlignment="1" applyProtection="1">
      <alignment horizontal="left" vertical="center"/>
      <protection locked="0"/>
    </xf>
    <xf numFmtId="0" fontId="6" fillId="7" borderId="48" xfId="0" applyFont="1" applyFill="1" applyBorder="1" applyAlignment="1" applyProtection="1">
      <alignment horizontal="left" vertical="center"/>
      <protection locked="0"/>
    </xf>
    <xf numFmtId="0" fontId="6" fillId="2" borderId="49" xfId="0" applyFont="1" applyFill="1" applyBorder="1" applyAlignment="1" applyProtection="1">
      <alignment horizontal="left"/>
      <protection locked="0"/>
    </xf>
    <xf numFmtId="0" fontId="6" fillId="2" borderId="62" xfId="0" applyFont="1" applyFill="1" applyBorder="1" applyAlignment="1" applyProtection="1">
      <alignment horizontal="left"/>
      <protection locked="0"/>
    </xf>
    <xf numFmtId="0" fontId="6" fillId="2" borderId="50" xfId="0" applyFont="1" applyFill="1" applyBorder="1" applyAlignment="1" applyProtection="1">
      <alignment horizontal="left"/>
      <protection locked="0"/>
    </xf>
    <xf numFmtId="0" fontId="7" fillId="2" borderId="45" xfId="0" applyFont="1" applyFill="1" applyBorder="1" applyAlignment="1" applyProtection="1">
      <alignment horizontal="left" wrapText="1"/>
      <protection locked="0"/>
    </xf>
    <xf numFmtId="0" fontId="7" fillId="2" borderId="33" xfId="0" applyFont="1" applyFill="1" applyBorder="1" applyAlignment="1" applyProtection="1">
      <alignment horizontal="left" wrapText="1"/>
      <protection locked="0"/>
    </xf>
    <xf numFmtId="0" fontId="7" fillId="2" borderId="34" xfId="0" applyFont="1" applyFill="1" applyBorder="1" applyAlignment="1" applyProtection="1">
      <alignment horizontal="left" wrapText="1"/>
      <protection locked="0"/>
    </xf>
    <xf numFmtId="0" fontId="6" fillId="2" borderId="17" xfId="0" applyFont="1" applyFill="1" applyBorder="1" applyAlignment="1" applyProtection="1">
      <alignment horizontal="left"/>
      <protection locked="0"/>
    </xf>
    <xf numFmtId="0" fontId="6" fillId="2" borderId="7" xfId="0" applyFont="1" applyFill="1" applyBorder="1" applyAlignment="1" applyProtection="1">
      <alignment horizontal="left"/>
      <protection locked="0"/>
    </xf>
    <xf numFmtId="0" fontId="6" fillId="2" borderId="35" xfId="0" applyFont="1" applyFill="1" applyBorder="1" applyAlignment="1" applyProtection="1">
      <alignment horizontal="left"/>
      <protection locked="0"/>
    </xf>
    <xf numFmtId="0" fontId="6" fillId="2" borderId="46" xfId="0" applyFont="1" applyFill="1" applyBorder="1" applyAlignment="1" applyProtection="1">
      <alignment horizontal="left" wrapText="1"/>
      <protection locked="0"/>
    </xf>
    <xf numFmtId="0" fontId="6" fillId="2" borderId="36" xfId="0" applyFont="1" applyFill="1" applyBorder="1" applyAlignment="1" applyProtection="1">
      <alignment horizontal="left" wrapText="1"/>
      <protection locked="0"/>
    </xf>
    <xf numFmtId="0" fontId="6" fillId="2" borderId="37" xfId="0" applyFont="1" applyFill="1" applyBorder="1" applyAlignment="1" applyProtection="1">
      <alignment horizontal="left" wrapText="1"/>
      <protection locked="0"/>
    </xf>
    <xf numFmtId="0" fontId="7" fillId="7" borderId="54" xfId="0" applyFont="1" applyFill="1" applyBorder="1" applyAlignment="1" applyProtection="1">
      <alignment horizontal="center" vertical="center"/>
      <protection locked="0"/>
    </xf>
    <xf numFmtId="0" fontId="6" fillId="7" borderId="54" xfId="0" applyFont="1" applyFill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center" vertical="center"/>
      <protection locked="0"/>
    </xf>
    <xf numFmtId="0" fontId="6" fillId="0" borderId="54" xfId="0" applyFont="1" applyBorder="1" applyAlignment="1" applyProtection="1">
      <alignment horizontal="left" vertical="center"/>
      <protection locked="0"/>
    </xf>
    <xf numFmtId="0" fontId="7" fillId="2" borderId="47" xfId="0" applyFont="1" applyFill="1" applyBorder="1" applyAlignment="1" applyProtection="1">
      <alignment horizontal="left" wrapText="1"/>
      <protection locked="0"/>
    </xf>
    <xf numFmtId="0" fontId="7" fillId="2" borderId="41" xfId="0" applyFont="1" applyFill="1" applyBorder="1" applyAlignment="1" applyProtection="1">
      <alignment horizontal="left" wrapText="1"/>
      <protection locked="0"/>
    </xf>
    <xf numFmtId="0" fontId="7" fillId="2" borderId="42" xfId="0" applyFont="1" applyFill="1" applyBorder="1" applyAlignment="1" applyProtection="1">
      <alignment horizontal="left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63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6" borderId="22" xfId="0" applyFont="1" applyFill="1" applyBorder="1" applyAlignment="1" applyProtection="1">
      <alignment horizontal="center" vertical="center"/>
      <protection locked="0"/>
    </xf>
    <xf numFmtId="0" fontId="6" fillId="6" borderId="22" xfId="0" applyFont="1" applyFill="1" applyBorder="1" applyAlignment="1" applyProtection="1">
      <alignment horizontal="left" vertical="center"/>
      <protection locked="0"/>
    </xf>
    <xf numFmtId="0" fontId="7" fillId="6" borderId="54" xfId="0" applyFont="1" applyFill="1" applyBorder="1" applyAlignment="1" applyProtection="1">
      <alignment horizontal="center" vertical="center"/>
      <protection locked="0"/>
    </xf>
    <xf numFmtId="0" fontId="6" fillId="6" borderId="54" xfId="0" applyFont="1" applyFill="1" applyBorder="1" applyAlignment="1" applyProtection="1">
      <alignment horizontal="left" vertical="center"/>
      <protection locked="0"/>
    </xf>
    <xf numFmtId="165" fontId="6" fillId="0" borderId="60" xfId="0" applyNumberFormat="1" applyFont="1" applyBorder="1" applyAlignment="1" applyProtection="1">
      <alignment horizontal="left" vertical="center"/>
      <protection locked="0"/>
    </xf>
    <xf numFmtId="165" fontId="6" fillId="0" borderId="51" xfId="0" applyNumberFormat="1" applyFont="1" applyBorder="1" applyAlignment="1" applyProtection="1">
      <alignment horizontal="left" vertical="center"/>
      <protection locked="0"/>
    </xf>
    <xf numFmtId="165" fontId="6" fillId="0" borderId="52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165" fontId="6" fillId="0" borderId="46" xfId="0" applyNumberFormat="1" applyFont="1" applyBorder="1" applyAlignment="1" applyProtection="1">
      <alignment horizontal="left" vertical="center"/>
      <protection locked="0"/>
    </xf>
    <xf numFmtId="165" fontId="6" fillId="0" borderId="36" xfId="0" applyNumberFormat="1" applyFont="1" applyBorder="1" applyAlignment="1" applyProtection="1">
      <alignment horizontal="left" vertical="center"/>
      <protection locked="0"/>
    </xf>
    <xf numFmtId="165" fontId="6" fillId="0" borderId="37" xfId="0" applyNumberFormat="1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left" vertical="center"/>
      <protection locked="0"/>
    </xf>
    <xf numFmtId="165" fontId="6" fillId="0" borderId="2" xfId="0" applyNumberFormat="1" applyFont="1" applyBorder="1" applyAlignment="1" applyProtection="1">
      <alignment horizontal="left" vertical="center"/>
      <protection locked="0"/>
    </xf>
    <xf numFmtId="165" fontId="6" fillId="0" borderId="21" xfId="0" applyNumberFormat="1" applyFont="1" applyBorder="1" applyAlignment="1" applyProtection="1">
      <alignment horizontal="left" vertical="center"/>
      <protection locked="0"/>
    </xf>
    <xf numFmtId="0" fontId="7" fillId="7" borderId="66" xfId="0" applyFont="1" applyFill="1" applyBorder="1" applyAlignment="1" applyProtection="1">
      <alignment horizontal="center" vertical="center"/>
      <protection locked="0"/>
    </xf>
    <xf numFmtId="0" fontId="6" fillId="7" borderId="66" xfId="0" applyFont="1" applyFill="1" applyBorder="1" applyAlignment="1" applyProtection="1">
      <alignment horizontal="left" vertical="center"/>
      <protection locked="0"/>
    </xf>
    <xf numFmtId="165" fontId="7" fillId="2" borderId="2" xfId="0" applyNumberFormat="1" applyFont="1" applyFill="1" applyBorder="1" applyAlignment="1" applyProtection="1">
      <alignment horizontal="left" vertical="center"/>
      <protection locked="0"/>
    </xf>
    <xf numFmtId="165" fontId="7" fillId="2" borderId="0" xfId="0" applyNumberFormat="1" applyFont="1" applyFill="1" applyAlignment="1" applyProtection="1">
      <alignment horizontal="left" vertical="center"/>
      <protection locked="0"/>
    </xf>
    <xf numFmtId="165" fontId="7" fillId="2" borderId="21" xfId="0" applyNumberFormat="1" applyFont="1" applyFill="1" applyBorder="1" applyAlignment="1" applyProtection="1">
      <alignment horizontal="left" vertical="center"/>
      <protection locked="0"/>
    </xf>
    <xf numFmtId="165" fontId="6" fillId="0" borderId="19" xfId="0" applyNumberFormat="1" applyFont="1" applyBorder="1" applyAlignment="1" applyProtection="1">
      <alignment horizontal="left" vertical="center" wrapText="1"/>
      <protection locked="0"/>
    </xf>
    <xf numFmtId="165" fontId="6" fillId="0" borderId="25" xfId="0" applyNumberFormat="1" applyFont="1" applyBorder="1" applyAlignment="1" applyProtection="1">
      <alignment horizontal="left" vertical="center" wrapText="1"/>
      <protection locked="0"/>
    </xf>
    <xf numFmtId="165" fontId="6" fillId="0" borderId="23" xfId="0" applyNumberFormat="1" applyFont="1" applyBorder="1" applyAlignment="1" applyProtection="1">
      <alignment horizontal="left" vertical="center" wrapText="1"/>
      <protection locked="0"/>
    </xf>
    <xf numFmtId="165" fontId="6" fillId="0" borderId="20" xfId="0" applyNumberFormat="1" applyFont="1" applyBorder="1" applyAlignment="1" applyProtection="1">
      <alignment horizontal="left" vertical="center" wrapText="1"/>
      <protection locked="0"/>
    </xf>
    <xf numFmtId="165" fontId="6" fillId="0" borderId="18" xfId="0" applyNumberFormat="1" applyFont="1" applyBorder="1" applyAlignment="1" applyProtection="1">
      <alignment horizontal="left" vertical="center" wrapText="1"/>
      <protection locked="0"/>
    </xf>
    <xf numFmtId="165" fontId="6" fillId="0" borderId="24" xfId="0" applyNumberFormat="1" applyFont="1" applyBorder="1" applyAlignment="1" applyProtection="1">
      <alignment horizontal="left" vertical="center" wrapText="1"/>
      <protection locked="0"/>
    </xf>
    <xf numFmtId="165" fontId="6" fillId="0" borderId="47" xfId="0" applyNumberFormat="1" applyFont="1" applyBorder="1" applyAlignment="1" applyProtection="1">
      <alignment horizontal="left" vertical="center"/>
      <protection locked="0"/>
    </xf>
    <xf numFmtId="165" fontId="6" fillId="0" borderId="41" xfId="0" applyNumberFormat="1" applyFont="1" applyBorder="1" applyAlignment="1" applyProtection="1">
      <alignment horizontal="left" vertical="center"/>
      <protection locked="0"/>
    </xf>
    <xf numFmtId="165" fontId="6" fillId="0" borderId="42" xfId="0" applyNumberFormat="1" applyFont="1" applyBorder="1" applyAlignment="1" applyProtection="1">
      <alignment horizontal="left" vertical="center"/>
      <protection locked="0"/>
    </xf>
    <xf numFmtId="165" fontId="6" fillId="0" borderId="20" xfId="0" applyNumberFormat="1" applyFont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horizontal="left" vertical="center"/>
      <protection locked="0"/>
    </xf>
    <xf numFmtId="165" fontId="6" fillId="0" borderId="24" xfId="0" applyNumberFormat="1" applyFont="1" applyBorder="1" applyAlignment="1" applyProtection="1">
      <alignment horizontal="left" vertical="center"/>
      <protection locked="0"/>
    </xf>
    <xf numFmtId="0" fontId="6" fillId="0" borderId="60" xfId="0" applyFont="1" applyBorder="1" applyAlignment="1" applyProtection="1">
      <alignment horizontal="left" vertical="center"/>
      <protection locked="0"/>
    </xf>
    <xf numFmtId="0" fontId="6" fillId="0" borderId="51" xfId="0" applyFont="1" applyBorder="1" applyAlignment="1" applyProtection="1">
      <alignment horizontal="left" vertical="center"/>
      <protection locked="0"/>
    </xf>
    <xf numFmtId="0" fontId="6" fillId="0" borderId="52" xfId="0" applyFont="1" applyBorder="1" applyAlignment="1" applyProtection="1">
      <alignment horizontal="left" vertical="center"/>
      <protection locked="0"/>
    </xf>
    <xf numFmtId="0" fontId="6" fillId="0" borderId="61" xfId="0" applyFont="1" applyBorder="1" applyAlignment="1" applyProtection="1">
      <alignment horizontal="left" vertical="center"/>
      <protection locked="0"/>
    </xf>
    <xf numFmtId="0" fontId="6" fillId="0" borderId="53" xfId="0" applyFont="1" applyBorder="1" applyAlignment="1" applyProtection="1">
      <alignment horizontal="left" vertical="center"/>
      <protection locked="0"/>
    </xf>
    <xf numFmtId="0" fontId="6" fillId="0" borderId="55" xfId="0" applyFont="1" applyBorder="1" applyAlignment="1" applyProtection="1">
      <alignment horizontal="left" vertical="center"/>
      <protection locked="0"/>
    </xf>
    <xf numFmtId="0" fontId="7" fillId="7" borderId="66" xfId="0" applyFont="1" applyFill="1" applyBorder="1" applyAlignment="1">
      <alignment horizontal="center" vertical="center"/>
    </xf>
    <xf numFmtId="0" fontId="6" fillId="7" borderId="66" xfId="0" applyFont="1" applyFill="1" applyBorder="1" applyAlignment="1">
      <alignment horizontal="left" vertical="center"/>
    </xf>
    <xf numFmtId="0" fontId="7" fillId="7" borderId="22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left" vertical="center"/>
    </xf>
    <xf numFmtId="0" fontId="9" fillId="18" borderId="30" xfId="0" applyFont="1" applyFill="1" applyBorder="1" applyAlignment="1" applyProtection="1">
      <alignment horizontal="center" vertical="center" textRotation="90" wrapText="1"/>
      <protection locked="0"/>
    </xf>
    <xf numFmtId="0" fontId="9" fillId="18" borderId="56" xfId="0" applyFont="1" applyFill="1" applyBorder="1" applyAlignment="1" applyProtection="1">
      <alignment horizontal="center" vertical="center" textRotation="90"/>
      <protection locked="0"/>
    </xf>
    <xf numFmtId="0" fontId="9" fillId="18" borderId="59" xfId="0" applyFont="1" applyFill="1" applyBorder="1" applyAlignment="1" applyProtection="1">
      <alignment horizontal="center" vertical="center" textRotation="90"/>
      <protection locked="0"/>
    </xf>
    <xf numFmtId="0" fontId="6" fillId="7" borderId="7" xfId="0" applyFont="1" applyFill="1" applyBorder="1" applyAlignment="1" applyProtection="1">
      <alignment horizontal="left" vertical="top"/>
      <protection locked="0"/>
    </xf>
    <xf numFmtId="0" fontId="7" fillId="7" borderId="22" xfId="0" applyFont="1" applyFill="1" applyBorder="1" applyAlignment="1" applyProtection="1">
      <alignment horizontal="center" vertical="center"/>
      <protection locked="0"/>
    </xf>
    <xf numFmtId="0" fontId="6" fillId="7" borderId="22" xfId="0" applyFont="1" applyFill="1" applyBorder="1" applyAlignment="1" applyProtection="1">
      <alignment horizontal="left" vertical="center"/>
      <protection locked="0"/>
    </xf>
    <xf numFmtId="0" fontId="7" fillId="0" borderId="66" xfId="0" applyFont="1" applyBorder="1" applyAlignment="1" applyProtection="1">
      <alignment horizontal="center" vertical="center"/>
      <protection locked="0"/>
    </xf>
    <xf numFmtId="0" fontId="6" fillId="0" borderId="66" xfId="0" applyFont="1" applyBorder="1" applyAlignment="1" applyProtection="1">
      <alignment horizontal="left" vertical="center"/>
      <protection locked="0"/>
    </xf>
    <xf numFmtId="0" fontId="7" fillId="2" borderId="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7" borderId="7" xfId="0" applyFont="1" applyFill="1" applyBorder="1" applyAlignment="1" applyProtection="1">
      <alignment horizontal="center" vertical="center"/>
      <protection locked="0"/>
    </xf>
    <xf numFmtId="0" fontId="6" fillId="7" borderId="16" xfId="0" applyFont="1" applyFill="1" applyBorder="1" applyAlignment="1" applyProtection="1">
      <alignment horizontal="center" vertical="center"/>
      <protection locked="0"/>
    </xf>
    <xf numFmtId="0" fontId="6" fillId="7" borderId="39" xfId="0" applyFont="1" applyFill="1" applyBorder="1" applyAlignment="1" applyProtection="1">
      <alignment horizontal="center" vertical="center"/>
      <protection locked="0"/>
    </xf>
    <xf numFmtId="0" fontId="6" fillId="7" borderId="48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left"/>
      <protection locked="0"/>
    </xf>
    <xf numFmtId="0" fontId="5" fillId="2" borderId="25" xfId="0" applyFont="1" applyFill="1" applyBorder="1" applyAlignment="1" applyProtection="1">
      <alignment horizontal="left"/>
      <protection locked="0"/>
    </xf>
    <xf numFmtId="0" fontId="5" fillId="2" borderId="23" xfId="0" applyFont="1" applyFill="1" applyBorder="1" applyAlignment="1" applyProtection="1">
      <alignment horizontal="left"/>
      <protection locked="0"/>
    </xf>
    <xf numFmtId="0" fontId="1" fillId="2" borderId="8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1" fillId="2" borderId="27" xfId="0" applyFont="1" applyFill="1" applyBorder="1" applyProtection="1">
      <protection locked="0"/>
    </xf>
    <xf numFmtId="0" fontId="5" fillId="2" borderId="20" xfId="0" applyFont="1" applyFill="1" applyBorder="1" applyAlignment="1">
      <alignment horizontal="left" wrapText="1"/>
    </xf>
    <xf numFmtId="0" fontId="5" fillId="2" borderId="18" xfId="0" applyFont="1" applyFill="1" applyBorder="1" applyAlignment="1">
      <alignment horizontal="left" wrapText="1"/>
    </xf>
    <xf numFmtId="0" fontId="5" fillId="2" borderId="24" xfId="0" applyFont="1" applyFill="1" applyBorder="1" applyAlignment="1">
      <alignment horizontal="left" wrapText="1"/>
    </xf>
    <xf numFmtId="0" fontId="6" fillId="6" borderId="4" xfId="0" applyFont="1" applyFill="1" applyBorder="1" applyAlignment="1" applyProtection="1">
      <alignment horizontal="left" vertical="center" wrapText="1"/>
      <protection locked="0"/>
    </xf>
    <xf numFmtId="0" fontId="6" fillId="6" borderId="4" xfId="0" applyFont="1" applyFill="1" applyBorder="1" applyAlignment="1" applyProtection="1">
      <alignment horizontal="center" vertical="center"/>
      <protection locked="0"/>
    </xf>
    <xf numFmtId="0" fontId="6" fillId="6" borderId="5" xfId="0" applyFont="1" applyFill="1" applyBorder="1" applyAlignment="1" applyProtection="1">
      <alignment horizontal="center" vertical="center"/>
      <protection locked="0"/>
    </xf>
  </cellXfs>
  <cellStyles count="4">
    <cellStyle name="Hyperlink" xfId="3" builtinId="8"/>
    <cellStyle name="Normal" xfId="0" builtinId="0"/>
    <cellStyle name="Style 4" xfId="1" xr:uid="{D5713395-3767-4C16-B308-075992A21AF7}"/>
    <cellStyle name="Style 5" xfId="2" xr:uid="{517D08A1-3B1A-4827-BF7C-E30987C0ECFB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[$-418]d\ mmmm\ yy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medium">
          <color auto="1"/>
        </left>
        <right style="medium">
          <color indexed="64"/>
        </right>
        <top style="medium">
          <color indexed="64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B1E0FD"/>
      <color rgb="FFFFCC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11546</xdr:colOff>
      <xdr:row>102</xdr:row>
      <xdr:rowOff>8248</xdr:rowOff>
    </xdr:from>
    <xdr:to>
      <xdr:col>38</xdr:col>
      <xdr:colOff>326778</xdr:colOff>
      <xdr:row>107</xdr:row>
      <xdr:rowOff>80472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3A65E-A605-47BD-AF79-9F56F4CE2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6" y="17883498"/>
          <a:ext cx="13015232" cy="928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11546</xdr:colOff>
      <xdr:row>99</xdr:row>
      <xdr:rowOff>8248</xdr:rowOff>
    </xdr:from>
    <xdr:to>
      <xdr:col>38</xdr:col>
      <xdr:colOff>322968</xdr:colOff>
      <xdr:row>104</xdr:row>
      <xdr:rowOff>94591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31B86-3887-449C-BB71-00631F7D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6" y="17883498"/>
          <a:ext cx="13015232" cy="9283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11546</xdr:colOff>
      <xdr:row>102</xdr:row>
      <xdr:rowOff>8248</xdr:rowOff>
    </xdr:from>
    <xdr:to>
      <xdr:col>38</xdr:col>
      <xdr:colOff>326778</xdr:colOff>
      <xdr:row>107</xdr:row>
      <xdr:rowOff>87515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9A321-63B9-4C24-B323-BBA07834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6" y="17388198"/>
          <a:ext cx="13015232" cy="9283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2021</xdr:colOff>
      <xdr:row>102</xdr:row>
      <xdr:rowOff>17773</xdr:rowOff>
    </xdr:from>
    <xdr:to>
      <xdr:col>38</xdr:col>
      <xdr:colOff>317253</xdr:colOff>
      <xdr:row>107</xdr:row>
      <xdr:rowOff>107927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6F02D-C57A-4418-B85C-19FEA970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" y="17753323"/>
          <a:ext cx="12373882" cy="9093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11546</xdr:colOff>
      <xdr:row>100</xdr:row>
      <xdr:rowOff>8248</xdr:rowOff>
    </xdr:from>
    <xdr:to>
      <xdr:col>38</xdr:col>
      <xdr:colOff>326778</xdr:colOff>
      <xdr:row>105</xdr:row>
      <xdr:rowOff>98402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54EC3-E5B0-494F-A26D-86A42C241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6" y="17959698"/>
          <a:ext cx="13015232" cy="9283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A9731-A8CD-499E-B844-1FBCA8856B16}" name="Februarie" displayName="Februarie" ref="AO111:BB141" totalsRowShown="0" headerRowDxfId="14" tableBorderDxfId="13">
  <autoFilter ref="AO111:BB141" xr:uid="{3F9A9731-A8CD-499E-B844-1FBCA8856B16}"/>
  <tableColumns count="14">
    <tableColumn id="1" xr3:uid="{A009171C-8CE4-4ABD-BAA9-AD3357FDFB3E}" name="ZIUA" dataDxfId="12">
      <calculatedColumnFormula>A112</calculatedColumnFormula>
    </tableColumn>
    <tableColumn id="2" xr3:uid="{93D7AB02-1D93-4A2D-A08E-5723134D4A6C}" name="SUBACTIVITATE" dataDxfId="11">
      <calculatedColumnFormula>LEFT(D112,6)</calculatedColumnFormula>
    </tableColumn>
    <tableColumn id="3" xr3:uid="{BBB4CF40-6513-4ADC-ACD8-81B0FC635BC8}" name="LIVRABIL COMUN (DA/NU)" dataDxfId="10"/>
    <tableColumn id="4" xr3:uid="{2E144557-D9CD-4EA9-B79B-13BE38E5F4C7}" name="EXPERTI " dataDxfId="9"/>
    <tableColumn id="5" xr3:uid="{B0112D84-7224-4ECA-A9FC-0E1B422F11EB}" name="STADIU LIVRABIL (in realizare/finalizat)" dataDxfId="8"/>
    <tableColumn id="6" xr3:uid="{1F1286B7-4057-4671-8512-1020575D9372}" name="RAPORT PRELIMINAR/MOM" dataDxfId="7"/>
    <tableColumn id="7" xr3:uid="{5825BE21-01C0-4F6B-87BC-8A82DF774D58}" name="CATEGORIE LIVRABIL 1" dataDxfId="6"/>
    <tableColumn id="8" xr3:uid="{EF807511-EAA8-48EB-9901-0A4F20F3DA19}" name="LIVRABIL 1"/>
    <tableColumn id="9" xr3:uid="{54D950F8-9F05-484B-8CAD-EEBAEB5E1FAE}" name="CATEGORIE LIVRABIL 2" dataDxfId="5"/>
    <tableColumn id="10" xr3:uid="{FA31D89E-7176-497F-B045-64AE056440DE}" name="LIVRABIL 2" dataDxfId="4" dataCellStyle="Hyperlink"/>
    <tableColumn id="11" xr3:uid="{0DF3DC11-8421-455B-A126-C47D1CE1769F}" name="CATEGORIE LIVRABIL 3" dataDxfId="3"/>
    <tableColumn id="12" xr3:uid="{641608EE-092B-4DCA-AD20-E7AC56051628}" name="LIVRABIL 3" dataDxfId="2"/>
    <tableColumn id="13" xr3:uid="{C0CCA930-308C-4B41-894A-6FBFCE1B83A3}" name="LINK/DOC STUDIAT" dataDxfId="1"/>
    <tableColumn id="14" xr3:uid="{6FBE9AE8-1B3B-4636-90DF-E438B086281B}" name="ANEX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w:/s/PEO2024-2028/IQDCtpydJWN_QLSxEwn_HGkiAQm-AAvOFmAHkC2fGOAWzfg?e=eubivc" TargetMode="External"/><Relationship Id="rId3" Type="http://schemas.openxmlformats.org/officeDocument/2006/relationships/hyperlink" Target="../../../../../:w:/s/PEO2024-2028/IQCRIf8AvOQIQZ704hYpJhzxAcLyBc_3iu-lCJiPlswLS1s?e=oAJ71b" TargetMode="External"/><Relationship Id="rId7" Type="http://schemas.openxmlformats.org/officeDocument/2006/relationships/hyperlink" Target="../../../../../:b:/s/PEO2024-2028/IQBUNodrGiO7SJ6MuFBq0NT-AVy1hKsEG7-FCqV6OwCGoeU?e=d4ONtG" TargetMode="External"/><Relationship Id="rId2" Type="http://schemas.openxmlformats.org/officeDocument/2006/relationships/hyperlink" Target="../../../../../:w:/s/PEO2024-2028/IQDOj2tmUFXmS7pPqzPL-ZqYAVlpTOZQZtir_rG1w10obLQ?e=n43O8m" TargetMode="External"/><Relationship Id="rId1" Type="http://schemas.openxmlformats.org/officeDocument/2006/relationships/hyperlink" Target="../../../../../:w:/s/PEO2024-2028/IQCx5dkdxHsSQ5eEVKGsjXznARCojoBmOD0fk2GNNvwkf5c?e=wm2sOr" TargetMode="External"/><Relationship Id="rId6" Type="http://schemas.openxmlformats.org/officeDocument/2006/relationships/hyperlink" Target="../../../../../:w:/s/PEO2024-2028/IQDalS-To1-qSpVvpypWEr2EAY0txP8S2w0XT2x4chj6FEs?e=CsF8Ja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../../../../../:w:/s/PEO2024-2028/IQCNdFnRWIpkRJ8Na72TpL1rAUlaHckt3yChc974MHDIDzw?e=9USLC9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../../../../../:w:/s/PEO2024-2028/IQCRIf8AvOQIQZ704hYpJhzxAcLyBc_3iu-lCJiPlswLS1s?e=tJ6OdJ" TargetMode="External"/><Relationship Id="rId9" Type="http://schemas.openxmlformats.org/officeDocument/2006/relationships/hyperlink" Target="../../../../../:w:/s/PEO2024-2028/IQAu0FXXMSdjSK0nyD96L3CbAUI5Q-p0gonhU2_tXhG3L_8?e=qgFPU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w:/s/PEO2024-2028/IQBhHLJunkElRLVjKWHopxiAAYpdzpnP0ix1ZXsV9EWdtto?e=lBxF5f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../../../../../:p:/s/PEO2024-2028/IQA6LuhZCBmRQaDxmnyzw2jIAbBzd2UJTsvZDbylOwv_BKk?e=scfIii" TargetMode="External"/><Relationship Id="rId7" Type="http://schemas.openxmlformats.org/officeDocument/2006/relationships/hyperlink" Target="../../../../../:w:/s/PEO2024-2028/IQAKECMnrUBrSKuRg2JTAReVAT2YjbXpQFVkuALq9gQp7kI?e=sxdckg" TargetMode="External"/><Relationship Id="rId12" Type="http://schemas.openxmlformats.org/officeDocument/2006/relationships/hyperlink" Target="../../../../../:w:/s/PEO2024-2028/IQABnE5KQVh5RbxOD3IO5Y0WAasdVctywbzAi_byK9bxNU8?e=Cghg4E" TargetMode="External"/><Relationship Id="rId2" Type="http://schemas.openxmlformats.org/officeDocument/2006/relationships/hyperlink" Target="../../../../../:w:/s/PEO2024-2028/IQDs0vt16wBmSY_0Y0hzLh0zAS-L6hjvIK5sG8C4Vd8Yrus?e=KXcaMN" TargetMode="External"/><Relationship Id="rId1" Type="http://schemas.openxmlformats.org/officeDocument/2006/relationships/hyperlink" Target="../../../../../:w:/s/PEO2024-2028/IQCn1mg9x7k3T7eeJmtTnZBjAQgsfmKbmyseQ6ypRNg9CbM?e=NjjVxt" TargetMode="External"/><Relationship Id="rId6" Type="http://schemas.openxmlformats.org/officeDocument/2006/relationships/hyperlink" Target="../../../../../:b:/s/PEO2024-2028/IQDFZYQBRqEOS6jmADdk3DeAAbOxDVZU7YJQPhr_qcjOG9g?e=K66UmF" TargetMode="External"/><Relationship Id="rId11" Type="http://schemas.openxmlformats.org/officeDocument/2006/relationships/hyperlink" Target="../../../../../:b:/s/PEO2024-2028/IQAwk4fLAD8rRbFESTxg0gf-AcF379sYl_Zu8YZdluS0wPs?e=WeGyMY" TargetMode="External"/><Relationship Id="rId5" Type="http://schemas.openxmlformats.org/officeDocument/2006/relationships/hyperlink" Target="../../../../../:w:/s/PEO2024-2028/IQBRATyo5QojTpFrMCBybgzBAf1AzGwYQYoZpluFiKfGrCc?e=M1NE2P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../../../../../:b:/s/PEO2024-2028/IQANUbuA-GgaQoapfxFcDiw4Adp7BRei9PL9q3eOinD6Frc?e=w2K6zy" TargetMode="External"/><Relationship Id="rId4" Type="http://schemas.openxmlformats.org/officeDocument/2006/relationships/hyperlink" Target="../../../../../:b:/s/PEO2024-2028/IQCcCmYTdXzMSJ0KiECNJ3MKAfQWaSYCk30u7ptTCuar4cc?e=dEcPVe" TargetMode="External"/><Relationship Id="rId9" Type="http://schemas.openxmlformats.org/officeDocument/2006/relationships/hyperlink" Target="https://confederatiaconcordia-my.sharepoint.com/:b:/g/personal/andreea_zalomir_confederatia-concordia_ro/IQCROt9p7103R4DL-t7jp7oRAdpONJKtGaTRzx-jK74ytK0?e=07ABET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b:/s/PEO2024-2028/IQCZ2VbVJG0gRJazB_2V4AQ4AdLKwkLy2hNWL_UqgtK1Ls8?e=PaMZrg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../../../../../:w:/s/PEO2024-2028/IQA6BdAvJaMbS5110H9JRxEjAcUtJfWkRmBiRIFyj9FbvYg?e=hQXdRZ" TargetMode="External"/><Relationship Id="rId7" Type="http://schemas.openxmlformats.org/officeDocument/2006/relationships/hyperlink" Target="../../../../../:b:/s/PEO2024-2028/IQCRtHMgezyVQKqLKKsYaoEnAYqtkudZaTY9finYxpoKqhM?e=0UhBlf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../../../../../:w:/s/PEO2024-2028/IQA3m9Pj1EfVSb5ACH5WiP7OAXId-1rtSUWI4OECkJj7maw?e=ei6BLr" TargetMode="External"/><Relationship Id="rId1" Type="http://schemas.openxmlformats.org/officeDocument/2006/relationships/hyperlink" Target="../../../../../:w:/s/PEO2024-2028/IQCaiYpPGSEbTrEwuiivFBHWAeF3wy4AhchmaccRtf74ZUc?e=EPkVn4" TargetMode="External"/><Relationship Id="rId6" Type="http://schemas.openxmlformats.org/officeDocument/2006/relationships/hyperlink" Target="../../../../../:w:/s/PEO2024-2028/IQB2xLtxaq0_R6H_jr56mFL3AfJgQkK7Gyfe2DuAayq72UE?e=f6pSHx" TargetMode="External"/><Relationship Id="rId11" Type="http://schemas.openxmlformats.org/officeDocument/2006/relationships/hyperlink" Target="https://confederatiaconcordia.sharepoint.com/:b:/s/PEO2024-2028/IQAo2cndUEieSpD27l_eNJi0Ab0-1pux2Kn33YKU-UQGwZM?e=sCcrhB" TargetMode="External"/><Relationship Id="rId5" Type="http://schemas.openxmlformats.org/officeDocument/2006/relationships/hyperlink" Target="../../../../../:w:/s/PEO2024-2028/IQABS-SILMQeR4TisJNWBKNJARbG498qkx0CfUeGSbCwnSA?e=GlBFbp" TargetMode="External"/><Relationship Id="rId10" Type="http://schemas.openxmlformats.org/officeDocument/2006/relationships/hyperlink" Target="https://confederatiaconcordia.sharepoint.com/:w:/s/PEO2024-2028/IQAz4K-0FUmORYKc_tAtoTyOAcTYB9PEr0ZGaciOITxRiOY?e=lqb278" TargetMode="External"/><Relationship Id="rId4" Type="http://schemas.openxmlformats.org/officeDocument/2006/relationships/hyperlink" Target="../../../../../:w:/s/PEO2024-2028/IQC7roN_cMsVT70-PFzJtuzoAc8L1AXqETgGTOPGC1h6zM4?e=AtvG1r" TargetMode="External"/><Relationship Id="rId9" Type="http://schemas.openxmlformats.org/officeDocument/2006/relationships/hyperlink" Target="https://confederatiaconcordia.sharepoint.com/:w:/s/PEO2024-2028/IQCtdfXXMc1eT4yjmYHUkFUPATS8hAaxmZcAjHWWnrWsh1I?e=OtPPP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s://confederatiaconcordia.sharepoint.com/:w:/s/PEO2024-2028/IQBiSfx9iCkISbdK8xtDqS4qAeT78BXxA7DcFElFlCUVGpA?e=NViH9V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confederatiaconcordia.sharepoint.com/:b:/s/PEO2024-2028/IQCtKy4eWYmqT4XM8Laq_m5SAQ9TomKiNPgD06swHUJOIoE?e=tkiHsE" TargetMode="External"/><Relationship Id="rId1" Type="http://schemas.openxmlformats.org/officeDocument/2006/relationships/hyperlink" Target="https://confederatiaconcordia.sharepoint.com/:w:/s/PEO2024-2028/IQBORgXBj97TRIgEWnEJiL8yAcjHEYH2Hrm2BAw2JhxtAsg?e=KYDy8w" TargetMode="External"/><Relationship Id="rId6" Type="http://schemas.openxmlformats.org/officeDocument/2006/relationships/hyperlink" Target="https://confederatiaconcordia.sharepoint.com/:w:/s/PEO2024-2028/IQAZ3hxfUDVkSLd3nfJCYeW4AeKCm99TRQ3rx8z88NtI_Bc?e=H0cRJx" TargetMode="External"/><Relationship Id="rId5" Type="http://schemas.openxmlformats.org/officeDocument/2006/relationships/hyperlink" Target="https://confederatiaconcordia.sharepoint.com/:w:/s/PEO2024-2028/IQBdDyCTMoGFRJCB-Vej7carAd8C-KPw5kiKSj8OmLNO0eg?e=buqvcO" TargetMode="External"/><Relationship Id="rId4" Type="http://schemas.openxmlformats.org/officeDocument/2006/relationships/hyperlink" Target="https://confederatiaconcordia.sharepoint.com/:w:/s/PEO2024-2028/IQCCJiXq1480S6c_amVGkQLAAYya7HL59n91IexV8-5Wje4?e=fAfbZ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B708-9EBE-4597-8141-A5D865CB1896}">
  <sheetPr>
    <pageSetUpPr fitToPage="1"/>
  </sheetPr>
  <dimension ref="A1:BB197"/>
  <sheetViews>
    <sheetView showGridLines="0" topLeftCell="A49" zoomScale="60" zoomScaleNormal="85" workbookViewId="0">
      <selection activeCell="J71" sqref="J71:K71"/>
    </sheetView>
  </sheetViews>
  <sheetFormatPr defaultColWidth="8.7265625" defaultRowHeight="13" x14ac:dyDescent="0.3"/>
  <cols>
    <col min="1" max="1" width="30.453125" style="4" customWidth="1"/>
    <col min="2" max="2" width="3.453125" style="4" customWidth="1"/>
    <col min="3" max="3" width="4.453125" style="4" customWidth="1"/>
    <col min="4" max="32" width="3.453125" style="4" customWidth="1"/>
    <col min="33" max="34" width="7.453125" style="4" customWidth="1"/>
    <col min="35" max="35" width="6.54296875" style="4" customWidth="1"/>
    <col min="36" max="36" width="6.453125" style="4" customWidth="1"/>
    <col min="37" max="37" width="7.54296875" style="4" customWidth="1"/>
    <col min="38" max="38" width="7.7265625" style="4" customWidth="1"/>
    <col min="39" max="39" width="10.7265625" style="4" customWidth="1"/>
    <col min="40" max="40" width="79.7265625" style="4" customWidth="1"/>
    <col min="41" max="41" width="25.26953125" style="5" customWidth="1"/>
    <col min="42" max="42" width="19" style="5" customWidth="1"/>
    <col min="43" max="43" width="27.7265625" style="4" customWidth="1"/>
    <col min="44" max="44" width="33" style="4" customWidth="1"/>
    <col min="45" max="45" width="32.453125" style="4" customWidth="1"/>
    <col min="46" max="46" width="47.7265625" style="4" customWidth="1"/>
    <col min="47" max="47" width="23.26953125" style="4" customWidth="1"/>
    <col min="48" max="48" width="68.453125" style="55" customWidth="1"/>
    <col min="49" max="49" width="23.26953125" style="4" customWidth="1"/>
    <col min="50" max="50" width="53.7265625" style="4" customWidth="1"/>
    <col min="51" max="51" width="19.7265625" style="4" customWidth="1"/>
    <col min="52" max="52" width="18.26953125" style="4" customWidth="1"/>
    <col min="53" max="53" width="33.7265625" style="4" customWidth="1"/>
    <col min="54" max="54" width="34.7265625" style="4" customWidth="1"/>
    <col min="55" max="16384" width="8.7265625" style="4"/>
  </cols>
  <sheetData>
    <row r="1" spans="1:39" ht="13.5" thickBot="1" x14ac:dyDescent="0.35">
      <c r="A1" s="32" t="s">
        <v>0</v>
      </c>
      <c r="B1" s="33"/>
    </row>
    <row r="2" spans="1:39" ht="13.5" thickBot="1" x14ac:dyDescent="0.35">
      <c r="A2" s="34" t="s">
        <v>1</v>
      </c>
      <c r="B2" s="35"/>
    </row>
    <row r="3" spans="1:39" ht="13.5" thickBot="1" x14ac:dyDescent="0.35">
      <c r="A3" s="34" t="s">
        <v>2</v>
      </c>
      <c r="B3" s="36" t="s">
        <v>3</v>
      </c>
    </row>
    <row r="4" spans="1:39" ht="13.5" thickBot="1" x14ac:dyDescent="0.35">
      <c r="A4" s="34" t="s">
        <v>4</v>
      </c>
      <c r="B4" s="36" t="s">
        <v>5</v>
      </c>
    </row>
    <row r="5" spans="1:39" ht="13.5" thickBot="1" x14ac:dyDescent="0.35">
      <c r="A5" s="37" t="s">
        <v>6</v>
      </c>
      <c r="B5" s="36" t="s">
        <v>7</v>
      </c>
    </row>
    <row r="6" spans="1:39" ht="13.5" thickBot="1" x14ac:dyDescent="0.35">
      <c r="A6" s="37" t="s">
        <v>8</v>
      </c>
      <c r="B6" s="38">
        <v>8</v>
      </c>
    </row>
    <row r="7" spans="1:39" ht="13.5" thickBot="1" x14ac:dyDescent="0.35">
      <c r="A7" s="39"/>
      <c r="B7" s="40"/>
    </row>
    <row r="8" spans="1:39" ht="20.149999999999999" customHeight="1" x14ac:dyDescent="0.3">
      <c r="B8" s="564" t="s">
        <v>9</v>
      </c>
      <c r="C8" s="565"/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6"/>
    </row>
    <row r="9" spans="1:39" ht="20.149999999999999" customHeight="1" x14ac:dyDescent="0.3">
      <c r="B9" s="567"/>
      <c r="C9" s="568"/>
      <c r="D9" s="568"/>
      <c r="E9" s="568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  <c r="AA9" s="568"/>
      <c r="AB9" s="568"/>
      <c r="AC9" s="568"/>
      <c r="AD9" s="568"/>
      <c r="AE9" s="568"/>
      <c r="AF9" s="569"/>
    </row>
    <row r="10" spans="1:39" ht="20.149999999999999" customHeight="1" thickBot="1" x14ac:dyDescent="0.35">
      <c r="B10" s="570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D10" s="571"/>
      <c r="AE10" s="571"/>
      <c r="AF10" s="572"/>
    </row>
    <row r="11" spans="1:39" ht="15" thickBot="1" x14ac:dyDescent="0.4">
      <c r="B11" s="573" t="s">
        <v>10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41"/>
      <c r="AH11" s="42"/>
      <c r="AI11" s="41"/>
      <c r="AJ11" s="42"/>
      <c r="AK11" s="41"/>
      <c r="AL11" s="42"/>
      <c r="AM11" s="41"/>
    </row>
    <row r="12" spans="1:39" ht="13.5" thickBot="1" x14ac:dyDescent="0.35">
      <c r="A12" s="574" t="s">
        <v>11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6" t="s">
        <v>12</v>
      </c>
      <c r="AH12" s="558" t="s">
        <v>13</v>
      </c>
      <c r="AI12" s="558" t="s">
        <v>14</v>
      </c>
      <c r="AJ12" s="558" t="s">
        <v>15</v>
      </c>
      <c r="AK12" s="558" t="s">
        <v>16</v>
      </c>
      <c r="AL12" s="561" t="s">
        <v>17</v>
      </c>
      <c r="AM12" s="43"/>
    </row>
    <row r="13" spans="1:39" ht="17.149999999999999" customHeight="1" thickBot="1" x14ac:dyDescent="0.35">
      <c r="A13" s="44" t="s">
        <v>18</v>
      </c>
      <c r="B13" s="45">
        <v>1</v>
      </c>
      <c r="C13" s="46">
        <v>2</v>
      </c>
      <c r="D13" s="47">
        <v>3</v>
      </c>
      <c r="E13" s="47">
        <v>4</v>
      </c>
      <c r="F13" s="153">
        <v>5</v>
      </c>
      <c r="G13" s="46">
        <v>6</v>
      </c>
      <c r="H13" s="46">
        <v>7</v>
      </c>
      <c r="I13" s="153">
        <v>8</v>
      </c>
      <c r="J13" s="153">
        <v>9</v>
      </c>
      <c r="K13" s="47">
        <v>10</v>
      </c>
      <c r="L13" s="47">
        <v>11</v>
      </c>
      <c r="M13" s="153">
        <v>12</v>
      </c>
      <c r="N13" s="153">
        <v>13</v>
      </c>
      <c r="O13" s="153">
        <v>14</v>
      </c>
      <c r="P13" s="153">
        <v>15</v>
      </c>
      <c r="Q13" s="153">
        <v>16</v>
      </c>
      <c r="R13" s="47">
        <v>17</v>
      </c>
      <c r="S13" s="47">
        <v>18</v>
      </c>
      <c r="T13" s="153">
        <v>19</v>
      </c>
      <c r="U13" s="153">
        <v>20</v>
      </c>
      <c r="V13" s="153">
        <v>21</v>
      </c>
      <c r="W13" s="153">
        <v>22</v>
      </c>
      <c r="X13" s="153">
        <v>23</v>
      </c>
      <c r="Y13" s="47">
        <v>24</v>
      </c>
      <c r="Z13" s="47">
        <v>25</v>
      </c>
      <c r="AA13" s="153">
        <v>26</v>
      </c>
      <c r="AB13" s="153">
        <v>27</v>
      </c>
      <c r="AC13" s="153">
        <v>28</v>
      </c>
      <c r="AD13" s="153">
        <v>29</v>
      </c>
      <c r="AE13" s="153">
        <v>30</v>
      </c>
      <c r="AF13" s="157">
        <v>31</v>
      </c>
      <c r="AG13" s="577"/>
      <c r="AH13" s="579"/>
      <c r="AI13" s="559"/>
      <c r="AJ13" s="559"/>
      <c r="AK13" s="559"/>
      <c r="AL13" s="562"/>
      <c r="AM13" s="48"/>
    </row>
    <row r="14" spans="1:39" ht="20.149999999999999" customHeight="1" thickBot="1" x14ac:dyDescent="0.35">
      <c r="A14" s="49" t="s">
        <v>19</v>
      </c>
      <c r="B14" s="50" t="s">
        <v>20</v>
      </c>
      <c r="C14" s="50" t="s">
        <v>21</v>
      </c>
      <c r="D14" s="52" t="s">
        <v>22</v>
      </c>
      <c r="E14" s="52" t="s">
        <v>23</v>
      </c>
      <c r="F14" s="51" t="s">
        <v>24</v>
      </c>
      <c r="G14" s="50" t="s">
        <v>25</v>
      </c>
      <c r="H14" s="50" t="s">
        <v>26</v>
      </c>
      <c r="I14" s="51" t="s">
        <v>20</v>
      </c>
      <c r="J14" s="51" t="s">
        <v>21</v>
      </c>
      <c r="K14" s="52" t="s">
        <v>22</v>
      </c>
      <c r="L14" s="52" t="s">
        <v>23</v>
      </c>
      <c r="M14" s="51" t="s">
        <v>24</v>
      </c>
      <c r="N14" s="51" t="s">
        <v>25</v>
      </c>
      <c r="O14" s="51" t="s">
        <v>26</v>
      </c>
      <c r="P14" s="51" t="s">
        <v>20</v>
      </c>
      <c r="Q14" s="51" t="s">
        <v>21</v>
      </c>
      <c r="R14" s="52" t="s">
        <v>22</v>
      </c>
      <c r="S14" s="52" t="s">
        <v>23</v>
      </c>
      <c r="T14" s="51" t="s">
        <v>24</v>
      </c>
      <c r="U14" s="51" t="s">
        <v>25</v>
      </c>
      <c r="V14" s="51" t="s">
        <v>26</v>
      </c>
      <c r="W14" s="51" t="s">
        <v>20</v>
      </c>
      <c r="X14" s="51" t="s">
        <v>21</v>
      </c>
      <c r="Y14" s="52" t="s">
        <v>22</v>
      </c>
      <c r="Z14" s="52" t="s">
        <v>23</v>
      </c>
      <c r="AA14" s="51" t="s">
        <v>24</v>
      </c>
      <c r="AB14" s="51" t="s">
        <v>25</v>
      </c>
      <c r="AC14" s="51" t="s">
        <v>26</v>
      </c>
      <c r="AD14" s="51" t="s">
        <v>20</v>
      </c>
      <c r="AE14" s="51" t="s">
        <v>21</v>
      </c>
      <c r="AF14" s="52" t="s">
        <v>22</v>
      </c>
      <c r="AG14" s="578"/>
      <c r="AH14" s="580"/>
      <c r="AI14" s="560"/>
      <c r="AJ14" s="560"/>
      <c r="AK14" s="560"/>
      <c r="AL14" s="563"/>
      <c r="AM14" s="48"/>
    </row>
    <row r="15" spans="1:39" ht="20.149999999999999" customHeight="1" x14ac:dyDescent="0.3">
      <c r="A15" s="120" t="s">
        <v>27</v>
      </c>
      <c r="B15" s="97"/>
      <c r="C15" s="79"/>
      <c r="D15" s="78"/>
      <c r="E15" s="78"/>
      <c r="F15" s="154" t="s">
        <v>5</v>
      </c>
      <c r="G15" s="79"/>
      <c r="H15" s="79"/>
      <c r="I15" s="154" t="s">
        <v>5</v>
      </c>
      <c r="J15" s="154" t="s">
        <v>5</v>
      </c>
      <c r="K15" s="78"/>
      <c r="L15" s="78"/>
      <c r="M15" s="154">
        <f t="shared" ref="M15:AE15" si="0">8-SUM(M16:M17)</f>
        <v>0</v>
      </c>
      <c r="N15" s="154">
        <f t="shared" si="0"/>
        <v>0</v>
      </c>
      <c r="O15" s="154">
        <f t="shared" si="0"/>
        <v>0</v>
      </c>
      <c r="P15" s="154">
        <f t="shared" si="0"/>
        <v>0</v>
      </c>
      <c r="Q15" s="154">
        <f t="shared" si="0"/>
        <v>0</v>
      </c>
      <c r="R15" s="78"/>
      <c r="S15" s="78"/>
      <c r="T15" s="154">
        <f t="shared" si="0"/>
        <v>0</v>
      </c>
      <c r="U15" s="154">
        <f t="shared" si="0"/>
        <v>0</v>
      </c>
      <c r="V15" s="154">
        <f t="shared" si="0"/>
        <v>0</v>
      </c>
      <c r="W15" s="154">
        <f t="shared" si="0"/>
        <v>0</v>
      </c>
      <c r="X15" s="154">
        <f t="shared" si="0"/>
        <v>0</v>
      </c>
      <c r="Y15" s="78"/>
      <c r="Z15" s="78"/>
      <c r="AA15" s="154">
        <f t="shared" si="0"/>
        <v>0</v>
      </c>
      <c r="AB15" s="154">
        <f t="shared" si="0"/>
        <v>0</v>
      </c>
      <c r="AC15" s="154">
        <f t="shared" si="0"/>
        <v>0</v>
      </c>
      <c r="AD15" s="154">
        <f t="shared" si="0"/>
        <v>0</v>
      </c>
      <c r="AE15" s="154">
        <f t="shared" si="0"/>
        <v>0</v>
      </c>
      <c r="AF15" s="158"/>
      <c r="AG15" s="84">
        <f>SUM(B15:AF15)+COUNTIF(B15:AF15, "DE")*8</f>
        <v>0</v>
      </c>
      <c r="AH15" s="85">
        <f>AG15/8</f>
        <v>0</v>
      </c>
      <c r="AI15" s="85">
        <f>COUNTIF(B15:AF15,"CO")*2</f>
        <v>6</v>
      </c>
      <c r="AJ15" s="85">
        <f>AI15/8</f>
        <v>0.75</v>
      </c>
      <c r="AK15" s="85">
        <f>COUNTIF(B15:AF15, "CM")*8</f>
        <v>0</v>
      </c>
      <c r="AL15" s="86">
        <f>AK15/8</f>
        <v>0</v>
      </c>
      <c r="AM15" s="53"/>
    </row>
    <row r="16" spans="1:39" ht="20.149999999999999" customHeight="1" x14ac:dyDescent="0.3">
      <c r="A16" s="119" t="s">
        <v>28</v>
      </c>
      <c r="B16" s="98" t="str" cm="1">
        <f t="array" ref="B16:AF16">TRANSPOSE(IF(E38:E68="","",E38:E68))</f>
        <v/>
      </c>
      <c r="C16" s="81" t="str">
        <v/>
      </c>
      <c r="D16" s="80" t="str">
        <v/>
      </c>
      <c r="E16" s="80" t="str">
        <v/>
      </c>
      <c r="F16" s="155" t="str">
        <v/>
      </c>
      <c r="G16" s="81" t="str">
        <v/>
      </c>
      <c r="H16" s="81" t="str">
        <v/>
      </c>
      <c r="I16" s="155" t="str">
        <v/>
      </c>
      <c r="J16" s="155" t="str">
        <v/>
      </c>
      <c r="K16" s="80" t="str">
        <v/>
      </c>
      <c r="L16" s="80" t="str">
        <v/>
      </c>
      <c r="M16" s="155">
        <v>2</v>
      </c>
      <c r="N16" s="155">
        <v>2</v>
      </c>
      <c r="O16" s="155">
        <v>2</v>
      </c>
      <c r="P16" s="155">
        <v>2</v>
      </c>
      <c r="Q16" s="155">
        <v>2</v>
      </c>
      <c r="R16" s="80" t="str">
        <v/>
      </c>
      <c r="S16" s="80" t="str">
        <v/>
      </c>
      <c r="T16" s="155">
        <v>2</v>
      </c>
      <c r="U16" s="155">
        <v>2</v>
      </c>
      <c r="V16" s="155" t="str">
        <v/>
      </c>
      <c r="W16" s="155">
        <v>2</v>
      </c>
      <c r="X16" s="155">
        <v>2</v>
      </c>
      <c r="Y16" s="80" t="str">
        <v/>
      </c>
      <c r="Z16" s="80" t="str">
        <v/>
      </c>
      <c r="AA16" s="155">
        <v>2</v>
      </c>
      <c r="AB16" s="155">
        <v>2</v>
      </c>
      <c r="AC16" s="155">
        <v>2</v>
      </c>
      <c r="AD16" s="155" t="str">
        <v/>
      </c>
      <c r="AE16" s="155">
        <v>6</v>
      </c>
      <c r="AF16" s="159" t="str">
        <v/>
      </c>
      <c r="AG16" s="87">
        <f>SUM(B16:AF16)+COUNTIF(B16:AF16, "DE")*8</f>
        <v>30</v>
      </c>
      <c r="AH16" s="88">
        <f>AG16/8</f>
        <v>3.75</v>
      </c>
      <c r="AI16" s="88">
        <f>COUNTIF(B16:AF16,"CO")*6</f>
        <v>0</v>
      </c>
      <c r="AJ16" s="88">
        <f>AI16/8</f>
        <v>0</v>
      </c>
      <c r="AK16" s="88">
        <f>COUNTIF(B16:AF16, "CM")*8</f>
        <v>0</v>
      </c>
      <c r="AL16" s="89">
        <f>AK16/8</f>
        <v>0</v>
      </c>
      <c r="AM16" s="53"/>
    </row>
    <row r="17" spans="1:39" ht="26.25" customHeight="1" thickBot="1" x14ac:dyDescent="0.35">
      <c r="A17" s="109" t="s">
        <v>29</v>
      </c>
      <c r="B17" s="99"/>
      <c r="C17" s="83"/>
      <c r="D17" s="82"/>
      <c r="E17" s="82"/>
      <c r="F17" s="156" t="s">
        <v>5</v>
      </c>
      <c r="G17" s="83"/>
      <c r="H17" s="83"/>
      <c r="I17" s="156" t="s">
        <v>5</v>
      </c>
      <c r="J17" s="156" t="s">
        <v>5</v>
      </c>
      <c r="K17" s="82"/>
      <c r="L17" s="82"/>
      <c r="M17" s="156">
        <f>SUMIFS($AL$115:$AL$146,$A$115:$A$146,"="&amp;DATE(2026,1,M13))</f>
        <v>6</v>
      </c>
      <c r="N17" s="156">
        <f>SUMIFS($AL$115:$AL$146,$A$115:$A$146,"="&amp;DATE(2026,1,N13))</f>
        <v>6</v>
      </c>
      <c r="O17" s="156">
        <f>SUMIFS($AL$115:$AL$146,$A$115:$A$146,"="&amp;DATE(2026,1,O13))</f>
        <v>6</v>
      </c>
      <c r="P17" s="156">
        <f>SUMIFS($AL$115:$AL$146,$A$115:$A$146,"="&amp;DATE(2026,1,P13))</f>
        <v>6</v>
      </c>
      <c r="Q17" s="156">
        <f>SUMIFS($AL$115:$AL$146,$A$115:$A$146,"="&amp;DATE(2026,1,Q13))</f>
        <v>6</v>
      </c>
      <c r="R17" s="82"/>
      <c r="S17" s="82"/>
      <c r="T17" s="156">
        <f>SUMIFS($AL$115:$AL$146,$A$115:$A$146,"="&amp;DATE(2026,1,T13))</f>
        <v>6</v>
      </c>
      <c r="U17" s="156">
        <f>SUMIFS($AL$115:$AL$146,$A$115:$A$146,"="&amp;DATE(2026,1,U13))</f>
        <v>6</v>
      </c>
      <c r="V17" s="156">
        <f>SUMIFS($AL$115:$AL$146,$A$115:$A$146,"="&amp;DATE(2026,1,V13))</f>
        <v>8</v>
      </c>
      <c r="W17" s="156">
        <f>SUMIFS($AL$115:$AL$146,$A$115:$A$146,"="&amp;DATE(2026,1,W13))</f>
        <v>6</v>
      </c>
      <c r="X17" s="156">
        <f>SUMIFS($AL$115:$AL$146,$A$115:$A$146,"="&amp;DATE(2026,1,X13))</f>
        <v>6</v>
      </c>
      <c r="Y17" s="82"/>
      <c r="Z17" s="82"/>
      <c r="AA17" s="156">
        <f>SUMIFS($AL$115:$AL$146,$A$115:$A$146,"="&amp;DATE(2026,1,AA13))</f>
        <v>6</v>
      </c>
      <c r="AB17" s="156">
        <f>SUMIFS($AL$115:$AL$146,$A$115:$A$146,"="&amp;DATE(2026,1,AB13))</f>
        <v>6</v>
      </c>
      <c r="AC17" s="156">
        <f>SUMIFS($AL$115:$AL$146,$A$115:$A$146,"="&amp;DATE(2026,1,AC13))</f>
        <v>6</v>
      </c>
      <c r="AD17" s="156">
        <f>SUMIFS($AL$115:$AL$146,$A$115:$A$146,"="&amp;DATE(2026,1,AD13))</f>
        <v>8</v>
      </c>
      <c r="AE17" s="156">
        <f>SUMIFS($AL$115:$AL$146,$A$115:$A$146,"="&amp;DATE(2026,1,AE13))</f>
        <v>2</v>
      </c>
      <c r="AF17" s="160"/>
      <c r="AG17" s="90">
        <f>SUM(B17:AF17)+COUNTIF(B17:AF17, "DE")*8</f>
        <v>90</v>
      </c>
      <c r="AH17" s="91">
        <f>AG17/8</f>
        <v>11.25</v>
      </c>
      <c r="AI17" s="91">
        <f>COUNTIF(B17:AF17,"CO")*6</f>
        <v>18</v>
      </c>
      <c r="AJ17" s="91">
        <f>AI17/8</f>
        <v>2.25</v>
      </c>
      <c r="AK17" s="91">
        <f>COUNTIF(B17:AF17, "CM")*8</f>
        <v>0</v>
      </c>
      <c r="AL17" s="92">
        <f>AK17/8</f>
        <v>0</v>
      </c>
      <c r="AM17" s="53"/>
    </row>
    <row r="18" spans="1:39" ht="17.25" customHeight="1" thickBot="1" x14ac:dyDescent="0.35">
      <c r="A18" s="54" t="s">
        <v>30</v>
      </c>
      <c r="B18" s="152"/>
      <c r="C18" s="152"/>
      <c r="D18" s="121"/>
      <c r="E18" s="121"/>
      <c r="F18" s="122">
        <f t="shared" ref="F18:AE18" si="1">SUM(F15:F17)</f>
        <v>0</v>
      </c>
      <c r="G18" s="152"/>
      <c r="H18" s="152"/>
      <c r="I18" s="122">
        <f t="shared" si="1"/>
        <v>0</v>
      </c>
      <c r="J18" s="122">
        <f t="shared" si="1"/>
        <v>0</v>
      </c>
      <c r="K18" s="121"/>
      <c r="L18" s="121"/>
      <c r="M18" s="122">
        <f t="shared" si="1"/>
        <v>8</v>
      </c>
      <c r="N18" s="122">
        <f t="shared" si="1"/>
        <v>8</v>
      </c>
      <c r="O18" s="122">
        <f t="shared" si="1"/>
        <v>8</v>
      </c>
      <c r="P18" s="122">
        <f t="shared" si="1"/>
        <v>8</v>
      </c>
      <c r="Q18" s="122">
        <f t="shared" si="1"/>
        <v>8</v>
      </c>
      <c r="R18" s="121"/>
      <c r="S18" s="121"/>
      <c r="T18" s="122">
        <f t="shared" si="1"/>
        <v>8</v>
      </c>
      <c r="U18" s="122">
        <f t="shared" si="1"/>
        <v>8</v>
      </c>
      <c r="V18" s="122">
        <f t="shared" si="1"/>
        <v>8</v>
      </c>
      <c r="W18" s="122">
        <f t="shared" si="1"/>
        <v>8</v>
      </c>
      <c r="X18" s="122">
        <f t="shared" si="1"/>
        <v>8</v>
      </c>
      <c r="Y18" s="121"/>
      <c r="Z18" s="121"/>
      <c r="AA18" s="122">
        <f t="shared" si="1"/>
        <v>8</v>
      </c>
      <c r="AB18" s="122">
        <f t="shared" si="1"/>
        <v>8</v>
      </c>
      <c r="AC18" s="122">
        <f t="shared" si="1"/>
        <v>8</v>
      </c>
      <c r="AD18" s="122">
        <f t="shared" si="1"/>
        <v>8</v>
      </c>
      <c r="AE18" s="122">
        <f t="shared" si="1"/>
        <v>8</v>
      </c>
      <c r="AF18" s="161"/>
      <c r="AG18" s="93">
        <f t="shared" ref="AG18:AL18" si="2">SUM(AG15:AG17)</f>
        <v>120</v>
      </c>
      <c r="AH18" s="94">
        <f t="shared" si="2"/>
        <v>15</v>
      </c>
      <c r="AI18" s="94">
        <f t="shared" si="2"/>
        <v>24</v>
      </c>
      <c r="AJ18" s="94">
        <f t="shared" si="2"/>
        <v>3</v>
      </c>
      <c r="AK18" s="94">
        <f t="shared" si="2"/>
        <v>0</v>
      </c>
      <c r="AL18" s="95">
        <f t="shared" si="2"/>
        <v>0</v>
      </c>
      <c r="AM18" s="53"/>
    </row>
    <row r="20" spans="1:39" x14ac:dyDescent="0.3">
      <c r="A20" s="5"/>
      <c r="I20" s="522" t="s">
        <v>31</v>
      </c>
      <c r="J20" s="522"/>
      <c r="K20" s="522"/>
      <c r="L20" s="522"/>
      <c r="M20" s="522"/>
      <c r="N20" s="522"/>
      <c r="O20" s="522"/>
      <c r="P20" s="545" t="s">
        <v>32</v>
      </c>
      <c r="Q20" s="545"/>
      <c r="R20" s="545"/>
      <c r="S20" s="545"/>
      <c r="T20" s="545"/>
      <c r="U20" s="545"/>
      <c r="V20" s="545"/>
    </row>
    <row r="22" spans="1:39" x14ac:dyDescent="0.3">
      <c r="I22" s="544" t="s">
        <v>33</v>
      </c>
      <c r="J22" s="544"/>
      <c r="K22" s="544"/>
      <c r="L22" s="544"/>
      <c r="M22" s="544"/>
      <c r="N22" s="544"/>
      <c r="O22" s="544"/>
      <c r="P22" s="545"/>
      <c r="Q22" s="545"/>
      <c r="R22" s="545"/>
      <c r="S22" s="545"/>
      <c r="T22" s="545"/>
      <c r="U22" s="545"/>
      <c r="V22" s="545"/>
    </row>
    <row r="23" spans="1:39" x14ac:dyDescent="0.3">
      <c r="I23" s="5"/>
      <c r="J23" s="5"/>
      <c r="K23" s="5"/>
      <c r="L23" s="5"/>
      <c r="M23" s="5"/>
      <c r="N23" s="5"/>
      <c r="O23" s="5"/>
    </row>
    <row r="24" spans="1:39" x14ac:dyDescent="0.3">
      <c r="I24" s="5"/>
      <c r="J24" s="5"/>
      <c r="K24" s="5"/>
      <c r="L24" s="5"/>
      <c r="M24" s="5"/>
      <c r="N24" s="5"/>
      <c r="O24" s="5"/>
    </row>
    <row r="25" spans="1:39" x14ac:dyDescent="0.3">
      <c r="I25" s="522" t="s">
        <v>34</v>
      </c>
      <c r="J25" s="522"/>
      <c r="K25" s="522"/>
      <c r="L25" s="522"/>
      <c r="M25" s="522"/>
      <c r="N25" s="522"/>
      <c r="O25" s="522"/>
      <c r="P25" s="545" t="s">
        <v>32</v>
      </c>
      <c r="Q25" s="545"/>
      <c r="R25" s="545"/>
      <c r="S25" s="545"/>
      <c r="T25" s="545"/>
      <c r="U25" s="545"/>
      <c r="V25" s="545"/>
    </row>
    <row r="26" spans="1:39" x14ac:dyDescent="0.3">
      <c r="I26" s="544" t="s">
        <v>35</v>
      </c>
      <c r="J26" s="544"/>
      <c r="K26" s="544"/>
      <c r="L26" s="544"/>
      <c r="M26" s="544"/>
      <c r="N26" s="544"/>
      <c r="O26" s="544"/>
      <c r="P26" s="545"/>
      <c r="Q26" s="545"/>
      <c r="R26" s="545"/>
      <c r="S26" s="545"/>
      <c r="T26" s="545"/>
      <c r="U26" s="545"/>
      <c r="V26" s="545"/>
    </row>
    <row r="27" spans="1:39" x14ac:dyDescent="0.3">
      <c r="I27" s="544" t="s">
        <v>36</v>
      </c>
      <c r="J27" s="544"/>
      <c r="K27" s="544"/>
      <c r="L27" s="544"/>
      <c r="M27" s="544"/>
      <c r="N27" s="544"/>
      <c r="O27" s="544"/>
      <c r="P27" s="545"/>
      <c r="Q27" s="545"/>
      <c r="R27" s="545"/>
      <c r="S27" s="545"/>
      <c r="T27" s="545"/>
      <c r="U27" s="545"/>
      <c r="V27" s="545"/>
    </row>
    <row r="28" spans="1:39" x14ac:dyDescent="0.3">
      <c r="I28" s="544" t="s">
        <v>33</v>
      </c>
      <c r="J28" s="544"/>
      <c r="K28" s="544"/>
      <c r="L28" s="544"/>
      <c r="M28" s="544"/>
      <c r="N28" s="544"/>
      <c r="O28" s="544"/>
      <c r="P28" s="545"/>
      <c r="Q28" s="545"/>
      <c r="R28" s="545"/>
      <c r="S28" s="545"/>
      <c r="T28" s="545"/>
      <c r="U28" s="545"/>
      <c r="V28" s="545"/>
    </row>
    <row r="29" spans="1:39" x14ac:dyDescent="0.3"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</row>
    <row r="30" spans="1:39" x14ac:dyDescent="0.3"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  <c r="V30" s="5"/>
    </row>
    <row r="31" spans="1:39" x14ac:dyDescent="0.3"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</row>
    <row r="32" spans="1:39" ht="13.5" thickBot="1" x14ac:dyDescent="0.35"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  <c r="V32" s="5"/>
    </row>
    <row r="33" spans="1:48" ht="15" thickBot="1" x14ac:dyDescent="0.4">
      <c r="A33" s="546" t="s">
        <v>37</v>
      </c>
      <c r="B33" s="547"/>
      <c r="C33" s="547"/>
      <c r="D33" s="547"/>
      <c r="E33" s="547"/>
      <c r="F33" s="547"/>
      <c r="G33" s="547"/>
      <c r="H33" s="547"/>
      <c r="I33" s="547"/>
      <c r="J33" s="547"/>
      <c r="K33" s="548"/>
      <c r="R33" s="549" t="s">
        <v>38</v>
      </c>
      <c r="S33" s="550"/>
      <c r="T33" s="550"/>
      <c r="U33" s="550"/>
      <c r="V33" s="550"/>
      <c r="W33" s="550"/>
      <c r="X33" s="550"/>
      <c r="Y33" s="551"/>
    </row>
    <row r="34" spans="1:48" ht="14.5" x14ac:dyDescent="0.35">
      <c r="A34" s="552" t="s">
        <v>39</v>
      </c>
      <c r="B34" s="553"/>
      <c r="C34" s="553"/>
      <c r="D34" s="553"/>
      <c r="E34" s="553"/>
      <c r="F34" s="553"/>
      <c r="G34" s="553"/>
      <c r="H34" s="553"/>
      <c r="I34" s="553"/>
      <c r="J34" s="553"/>
      <c r="K34" s="554"/>
      <c r="L34" s="55"/>
      <c r="M34" s="55"/>
      <c r="N34" s="55"/>
    </row>
    <row r="35" spans="1:48" ht="15" thickBot="1" x14ac:dyDescent="0.4">
      <c r="A35" s="555" t="s">
        <v>40</v>
      </c>
      <c r="B35" s="556"/>
      <c r="C35" s="556"/>
      <c r="D35" s="556"/>
      <c r="E35" s="556"/>
      <c r="F35" s="556"/>
      <c r="G35" s="556"/>
      <c r="H35" s="556"/>
      <c r="I35" s="556"/>
      <c r="J35" s="556"/>
      <c r="K35" s="557"/>
    </row>
    <row r="36" spans="1:48" ht="13.5" thickBot="1" x14ac:dyDescent="0.35"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5"/>
      <c r="U36" s="5"/>
      <c r="V36" s="5"/>
    </row>
    <row r="37" spans="1:48" s="9" customFormat="1" ht="15" thickBot="1" x14ac:dyDescent="0.4">
      <c r="A37" s="56" t="s">
        <v>41</v>
      </c>
      <c r="B37" s="541" t="s">
        <v>42</v>
      </c>
      <c r="C37" s="541"/>
      <c r="D37" s="541" t="s">
        <v>43</v>
      </c>
      <c r="E37" s="541"/>
      <c r="F37" s="541" t="s">
        <v>44</v>
      </c>
      <c r="G37" s="541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41"/>
      <c r="T37" s="541"/>
      <c r="U37" s="541"/>
      <c r="V37" s="541"/>
      <c r="W37" s="541"/>
      <c r="X37" s="541"/>
      <c r="Y37" s="541"/>
      <c r="Z37" s="541"/>
      <c r="AA37" s="541"/>
      <c r="AB37" s="541"/>
      <c r="AC37" s="541"/>
      <c r="AD37" s="541"/>
      <c r="AE37" s="541"/>
      <c r="AF37" s="541"/>
      <c r="AG37" s="541" t="s">
        <v>45</v>
      </c>
      <c r="AH37" s="541"/>
      <c r="AI37" s="541"/>
      <c r="AJ37" s="541"/>
      <c r="AK37" s="541"/>
      <c r="AL37" s="542"/>
      <c r="AV37" s="69"/>
    </row>
    <row r="38" spans="1:48" x14ac:dyDescent="0.3">
      <c r="A38" s="57">
        <v>46023</v>
      </c>
      <c r="B38" s="58"/>
      <c r="C38" s="11"/>
      <c r="D38" s="59"/>
      <c r="E38" s="12"/>
      <c r="F38" s="581"/>
      <c r="G38" s="581"/>
      <c r="H38" s="581"/>
      <c r="I38" s="581"/>
      <c r="J38" s="581"/>
      <c r="K38" s="581"/>
      <c r="L38" s="581"/>
      <c r="M38" s="581"/>
      <c r="N38" s="581"/>
      <c r="O38" s="581"/>
      <c r="P38" s="581"/>
      <c r="Q38" s="581"/>
      <c r="R38" s="581"/>
      <c r="S38" s="581"/>
      <c r="T38" s="581"/>
      <c r="U38" s="581"/>
      <c r="V38" s="581"/>
      <c r="W38" s="581"/>
      <c r="X38" s="581"/>
      <c r="Y38" s="581"/>
      <c r="Z38" s="581"/>
      <c r="AA38" s="581"/>
      <c r="AB38" s="581"/>
      <c r="AC38" s="581"/>
      <c r="AD38" s="581"/>
      <c r="AE38" s="581"/>
      <c r="AF38" s="581"/>
      <c r="AG38" s="539"/>
      <c r="AH38" s="539"/>
      <c r="AI38" s="539"/>
      <c r="AJ38" s="539"/>
      <c r="AK38" s="539"/>
      <c r="AL38" s="540"/>
      <c r="AM38" s="27"/>
    </row>
    <row r="39" spans="1:48" x14ac:dyDescent="0.3">
      <c r="A39" s="57">
        <v>46024</v>
      </c>
      <c r="B39" s="58"/>
      <c r="C39" s="11"/>
      <c r="D39" s="59"/>
      <c r="E39" s="12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  <c r="AA39" s="539"/>
      <c r="AB39" s="539"/>
      <c r="AC39" s="539"/>
      <c r="AD39" s="539"/>
      <c r="AE39" s="539"/>
      <c r="AF39" s="539"/>
      <c r="AG39" s="539"/>
      <c r="AH39" s="539"/>
      <c r="AI39" s="539"/>
      <c r="AJ39" s="539"/>
      <c r="AK39" s="539"/>
      <c r="AL39" s="540"/>
      <c r="AM39" s="27"/>
    </row>
    <row r="40" spans="1:48" x14ac:dyDescent="0.3">
      <c r="A40" s="60">
        <v>46025</v>
      </c>
      <c r="B40" s="61"/>
      <c r="C40" s="13"/>
      <c r="D40" s="62"/>
      <c r="E40" s="14"/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7"/>
      <c r="AI40" s="537"/>
      <c r="AJ40" s="537"/>
      <c r="AK40" s="537"/>
      <c r="AL40" s="538"/>
      <c r="AM40" s="27"/>
    </row>
    <row r="41" spans="1:48" s="55" customFormat="1" x14ac:dyDescent="0.3">
      <c r="A41" s="60">
        <v>46026</v>
      </c>
      <c r="B41" s="61"/>
      <c r="C41" s="13"/>
      <c r="D41" s="62"/>
      <c r="E41" s="14"/>
      <c r="F41" s="537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7"/>
      <c r="V41" s="537"/>
      <c r="W41" s="537"/>
      <c r="X41" s="537"/>
      <c r="Y41" s="537"/>
      <c r="Z41" s="537"/>
      <c r="AA41" s="537"/>
      <c r="AB41" s="537"/>
      <c r="AC41" s="537"/>
      <c r="AD41" s="537"/>
      <c r="AE41" s="537"/>
      <c r="AF41" s="537"/>
      <c r="AG41" s="537"/>
      <c r="AH41" s="537"/>
      <c r="AI41" s="537"/>
      <c r="AJ41" s="537"/>
      <c r="AK41" s="537"/>
      <c r="AL41" s="538"/>
      <c r="AM41" s="27"/>
      <c r="AO41" s="123"/>
      <c r="AP41" s="123"/>
    </row>
    <row r="42" spans="1:48" s="55" customFormat="1" x14ac:dyDescent="0.3">
      <c r="A42" s="162">
        <v>46027</v>
      </c>
      <c r="B42" s="163"/>
      <c r="C42" s="164"/>
      <c r="D42" s="165"/>
      <c r="E42" s="166"/>
      <c r="F42" s="529" t="s">
        <v>5</v>
      </c>
      <c r="G42" s="529"/>
      <c r="H42" s="529"/>
      <c r="I42" s="529"/>
      <c r="J42" s="529"/>
      <c r="K42" s="529"/>
      <c r="L42" s="529"/>
      <c r="M42" s="529"/>
      <c r="N42" s="529"/>
      <c r="O42" s="529"/>
      <c r="P42" s="529"/>
      <c r="Q42" s="529"/>
      <c r="R42" s="529"/>
      <c r="S42" s="529"/>
      <c r="T42" s="529"/>
      <c r="U42" s="529"/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30"/>
      <c r="AM42" s="27"/>
      <c r="AO42" s="123"/>
      <c r="AP42" s="123"/>
    </row>
    <row r="43" spans="1:48" s="55" customFormat="1" x14ac:dyDescent="0.3">
      <c r="A43" s="57">
        <v>46028</v>
      </c>
      <c r="B43" s="58"/>
      <c r="C43" s="11"/>
      <c r="D43" s="59"/>
      <c r="E43" s="12"/>
      <c r="F43" s="539"/>
      <c r="G43" s="539"/>
      <c r="H43" s="539"/>
      <c r="I43" s="539"/>
      <c r="J43" s="539"/>
      <c r="K43" s="539"/>
      <c r="L43" s="539"/>
      <c r="M43" s="539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  <c r="AA43" s="539"/>
      <c r="AB43" s="539"/>
      <c r="AC43" s="539"/>
      <c r="AD43" s="539"/>
      <c r="AE43" s="539"/>
      <c r="AF43" s="539"/>
      <c r="AG43" s="539"/>
      <c r="AH43" s="539"/>
      <c r="AI43" s="539"/>
      <c r="AJ43" s="539"/>
      <c r="AK43" s="539"/>
      <c r="AL43" s="540"/>
      <c r="AM43" s="27"/>
      <c r="AO43" s="123"/>
      <c r="AP43" s="123"/>
    </row>
    <row r="44" spans="1:48" s="55" customFormat="1" x14ac:dyDescent="0.3">
      <c r="A44" s="57">
        <v>46029</v>
      </c>
      <c r="B44" s="58"/>
      <c r="C44" s="11"/>
      <c r="D44" s="59"/>
      <c r="E44" s="12"/>
      <c r="F44" s="539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  <c r="AD44" s="539"/>
      <c r="AE44" s="539"/>
      <c r="AF44" s="539"/>
      <c r="AG44" s="539"/>
      <c r="AH44" s="539"/>
      <c r="AI44" s="539"/>
      <c r="AJ44" s="539"/>
      <c r="AK44" s="539"/>
      <c r="AL44" s="540"/>
      <c r="AM44" s="27"/>
      <c r="AO44" s="123"/>
      <c r="AP44" s="123"/>
    </row>
    <row r="45" spans="1:48" s="55" customFormat="1" x14ac:dyDescent="0.3">
      <c r="A45" s="162">
        <v>46030</v>
      </c>
      <c r="B45" s="163"/>
      <c r="C45" s="164"/>
      <c r="D45" s="165"/>
      <c r="E45" s="166"/>
      <c r="F45" s="529" t="s">
        <v>5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29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30"/>
      <c r="AM45" s="27"/>
      <c r="AO45" s="123"/>
      <c r="AP45" s="123"/>
    </row>
    <row r="46" spans="1:48" s="55" customFormat="1" x14ac:dyDescent="0.3">
      <c r="A46" s="162">
        <v>46031</v>
      </c>
      <c r="B46" s="163"/>
      <c r="C46" s="164"/>
      <c r="D46" s="165"/>
      <c r="E46" s="166"/>
      <c r="F46" s="529" t="s">
        <v>5</v>
      </c>
      <c r="G46" s="529"/>
      <c r="H46" s="529"/>
      <c r="I46" s="529"/>
      <c r="J46" s="529"/>
      <c r="K46" s="529"/>
      <c r="L46" s="529"/>
      <c r="M46" s="529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30"/>
      <c r="AM46" s="27"/>
      <c r="AO46" s="123"/>
      <c r="AP46" s="123"/>
    </row>
    <row r="47" spans="1:48" s="55" customFormat="1" x14ac:dyDescent="0.3">
      <c r="A47" s="60">
        <v>46032</v>
      </c>
      <c r="B47" s="61"/>
      <c r="C47" s="13"/>
      <c r="D47" s="62"/>
      <c r="E47" s="14"/>
      <c r="F47" s="537"/>
      <c r="G47" s="537"/>
      <c r="H47" s="537"/>
      <c r="I47" s="537"/>
      <c r="J47" s="537"/>
      <c r="K47" s="537"/>
      <c r="L47" s="537"/>
      <c r="M47" s="537"/>
      <c r="N47" s="537"/>
      <c r="O47" s="537"/>
      <c r="P47" s="537"/>
      <c r="Q47" s="537"/>
      <c r="R47" s="537"/>
      <c r="S47" s="537"/>
      <c r="T47" s="537"/>
      <c r="U47" s="537"/>
      <c r="V47" s="537"/>
      <c r="W47" s="537"/>
      <c r="X47" s="537"/>
      <c r="Y47" s="537"/>
      <c r="Z47" s="537"/>
      <c r="AA47" s="537"/>
      <c r="AB47" s="537"/>
      <c r="AC47" s="537"/>
      <c r="AD47" s="537"/>
      <c r="AE47" s="537"/>
      <c r="AF47" s="537"/>
      <c r="AG47" s="537"/>
      <c r="AH47" s="537"/>
      <c r="AI47" s="537"/>
      <c r="AJ47" s="537"/>
      <c r="AK47" s="537"/>
      <c r="AL47" s="538"/>
      <c r="AM47" s="27"/>
      <c r="AO47" s="123"/>
      <c r="AP47" s="123"/>
    </row>
    <row r="48" spans="1:48" s="55" customFormat="1" x14ac:dyDescent="0.3">
      <c r="A48" s="60">
        <v>46033</v>
      </c>
      <c r="B48" s="61"/>
      <c r="C48" s="13"/>
      <c r="D48" s="62"/>
      <c r="E48" s="14"/>
      <c r="F48" s="537"/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S48" s="537"/>
      <c r="T48" s="537"/>
      <c r="U48" s="537"/>
      <c r="V48" s="537"/>
      <c r="W48" s="537"/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7"/>
      <c r="AI48" s="537"/>
      <c r="AJ48" s="537"/>
      <c r="AK48" s="537"/>
      <c r="AL48" s="538"/>
      <c r="AM48" s="27"/>
      <c r="AO48" s="123"/>
      <c r="AP48" s="123"/>
    </row>
    <row r="49" spans="1:42" s="55" customFormat="1" x14ac:dyDescent="0.3">
      <c r="A49" s="162">
        <v>46034</v>
      </c>
      <c r="B49" s="163"/>
      <c r="C49" s="164" t="s">
        <v>46</v>
      </c>
      <c r="D49" s="165"/>
      <c r="E49" s="166">
        <v>2</v>
      </c>
      <c r="F49" s="529" t="s">
        <v>47</v>
      </c>
      <c r="G49" s="529"/>
      <c r="H49" s="529"/>
      <c r="I49" s="529"/>
      <c r="J49" s="529"/>
      <c r="K49" s="529"/>
      <c r="L49" s="529"/>
      <c r="M49" s="529"/>
      <c r="N49" s="529"/>
      <c r="O49" s="529"/>
      <c r="P49" s="529"/>
      <c r="Q49" s="529"/>
      <c r="R49" s="529"/>
      <c r="S49" s="529"/>
      <c r="T49" s="529"/>
      <c r="U49" s="529"/>
      <c r="V49" s="529"/>
      <c r="W49" s="529"/>
      <c r="X49" s="529"/>
      <c r="Y49" s="529"/>
      <c r="Z49" s="529"/>
      <c r="AA49" s="529"/>
      <c r="AB49" s="529"/>
      <c r="AC49" s="529"/>
      <c r="AD49" s="529"/>
      <c r="AE49" s="529"/>
      <c r="AF49" s="529"/>
      <c r="AG49" s="529"/>
      <c r="AH49" s="529"/>
      <c r="AI49" s="529"/>
      <c r="AJ49" s="529"/>
      <c r="AK49" s="529"/>
      <c r="AL49" s="530"/>
      <c r="AM49" s="27"/>
      <c r="AO49" s="123"/>
      <c r="AP49" s="123"/>
    </row>
    <row r="50" spans="1:42" s="55" customFormat="1" ht="13.4" customHeight="1" x14ac:dyDescent="0.3">
      <c r="A50" s="162">
        <v>46035</v>
      </c>
      <c r="B50" s="163"/>
      <c r="C50" s="164" t="s">
        <v>46</v>
      </c>
      <c r="D50" s="165"/>
      <c r="E50" s="166">
        <v>2</v>
      </c>
      <c r="F50" s="529" t="s">
        <v>47</v>
      </c>
      <c r="G50" s="529"/>
      <c r="H50" s="529"/>
      <c r="I50" s="529"/>
      <c r="J50" s="529"/>
      <c r="K50" s="529"/>
      <c r="L50" s="529"/>
      <c r="M50" s="529"/>
      <c r="N50" s="529"/>
      <c r="O50" s="529"/>
      <c r="P50" s="529"/>
      <c r="Q50" s="529"/>
      <c r="R50" s="529"/>
      <c r="S50" s="529"/>
      <c r="T50" s="529"/>
      <c r="U50" s="529"/>
      <c r="V50" s="529"/>
      <c r="W50" s="529"/>
      <c r="X50" s="529"/>
      <c r="Y50" s="529"/>
      <c r="Z50" s="529"/>
      <c r="AA50" s="529"/>
      <c r="AB50" s="529"/>
      <c r="AC50" s="529"/>
      <c r="AD50" s="529"/>
      <c r="AE50" s="529"/>
      <c r="AF50" s="529"/>
      <c r="AG50" s="529"/>
      <c r="AH50" s="529"/>
      <c r="AI50" s="529"/>
      <c r="AJ50" s="529"/>
      <c r="AK50" s="529"/>
      <c r="AL50" s="530"/>
      <c r="AM50" s="27"/>
      <c r="AO50" s="123"/>
      <c r="AP50" s="123"/>
    </row>
    <row r="51" spans="1:42" s="55" customFormat="1" x14ac:dyDescent="0.3">
      <c r="A51" s="162">
        <v>46036</v>
      </c>
      <c r="B51" s="163"/>
      <c r="C51" s="164" t="s">
        <v>48</v>
      </c>
      <c r="D51" s="165"/>
      <c r="E51" s="166">
        <v>2</v>
      </c>
      <c r="F51" s="529" t="s">
        <v>49</v>
      </c>
      <c r="G51" s="529"/>
      <c r="H51" s="529"/>
      <c r="I51" s="529"/>
      <c r="J51" s="529"/>
      <c r="K51" s="529"/>
      <c r="L51" s="529"/>
      <c r="M51" s="529"/>
      <c r="N51" s="529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  <c r="AA51" s="529"/>
      <c r="AB51" s="529"/>
      <c r="AC51" s="529"/>
      <c r="AD51" s="529"/>
      <c r="AE51" s="529"/>
      <c r="AF51" s="529"/>
      <c r="AG51" s="529"/>
      <c r="AH51" s="529"/>
      <c r="AI51" s="529"/>
      <c r="AJ51" s="529"/>
      <c r="AK51" s="529"/>
      <c r="AL51" s="530"/>
      <c r="AM51" s="27"/>
      <c r="AO51" s="123"/>
      <c r="AP51" s="123"/>
    </row>
    <row r="52" spans="1:42" s="55" customFormat="1" x14ac:dyDescent="0.3">
      <c r="A52" s="162">
        <v>46037</v>
      </c>
      <c r="B52" s="163"/>
      <c r="C52" s="164" t="s">
        <v>48</v>
      </c>
      <c r="D52" s="165"/>
      <c r="E52" s="166">
        <v>2</v>
      </c>
      <c r="F52" s="529" t="s">
        <v>49</v>
      </c>
      <c r="G52" s="529"/>
      <c r="H52" s="529"/>
      <c r="I52" s="529"/>
      <c r="J52" s="529"/>
      <c r="K52" s="529"/>
      <c r="L52" s="529"/>
      <c r="M52" s="529"/>
      <c r="N52" s="529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  <c r="AA52" s="529"/>
      <c r="AB52" s="529"/>
      <c r="AC52" s="529"/>
      <c r="AD52" s="529"/>
      <c r="AE52" s="529"/>
      <c r="AF52" s="529"/>
      <c r="AG52" s="529"/>
      <c r="AH52" s="529"/>
      <c r="AI52" s="529"/>
      <c r="AJ52" s="529"/>
      <c r="AK52" s="529"/>
      <c r="AL52" s="530"/>
      <c r="AM52" s="27"/>
      <c r="AO52" s="123"/>
      <c r="AP52" s="123"/>
    </row>
    <row r="53" spans="1:42" s="55" customFormat="1" x14ac:dyDescent="0.3">
      <c r="A53" s="162">
        <v>46038</v>
      </c>
      <c r="B53" s="163"/>
      <c r="C53" s="164" t="s">
        <v>46</v>
      </c>
      <c r="D53" s="165"/>
      <c r="E53" s="166">
        <v>2</v>
      </c>
      <c r="F53" s="529" t="s">
        <v>47</v>
      </c>
      <c r="G53" s="529"/>
      <c r="H53" s="529"/>
      <c r="I53" s="529"/>
      <c r="J53" s="529"/>
      <c r="K53" s="529"/>
      <c r="L53" s="529"/>
      <c r="M53" s="529"/>
      <c r="N53" s="529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529"/>
      <c r="AH53" s="529"/>
      <c r="AI53" s="529"/>
      <c r="AJ53" s="529"/>
      <c r="AK53" s="529"/>
      <c r="AL53" s="530"/>
      <c r="AM53" s="27"/>
      <c r="AO53" s="123"/>
      <c r="AP53" s="123"/>
    </row>
    <row r="54" spans="1:42" s="55" customFormat="1" x14ac:dyDescent="0.3">
      <c r="A54" s="60">
        <v>46039</v>
      </c>
      <c r="B54" s="61"/>
      <c r="C54" s="13"/>
      <c r="D54" s="62"/>
      <c r="E54" s="14"/>
      <c r="F54" s="537"/>
      <c r="G54" s="537"/>
      <c r="H54" s="537"/>
      <c r="I54" s="537"/>
      <c r="J54" s="537"/>
      <c r="K54" s="537"/>
      <c r="L54" s="537"/>
      <c r="M54" s="537"/>
      <c r="N54" s="537"/>
      <c r="O54" s="537"/>
      <c r="P54" s="537"/>
      <c r="Q54" s="537"/>
      <c r="R54" s="537"/>
      <c r="S54" s="537"/>
      <c r="T54" s="537"/>
      <c r="U54" s="537"/>
      <c r="V54" s="537"/>
      <c r="W54" s="537"/>
      <c r="X54" s="537"/>
      <c r="Y54" s="537"/>
      <c r="Z54" s="537"/>
      <c r="AA54" s="537"/>
      <c r="AB54" s="537"/>
      <c r="AC54" s="537"/>
      <c r="AD54" s="537"/>
      <c r="AE54" s="537"/>
      <c r="AF54" s="537"/>
      <c r="AG54" s="537"/>
      <c r="AH54" s="537"/>
      <c r="AI54" s="537"/>
      <c r="AJ54" s="537"/>
      <c r="AK54" s="537"/>
      <c r="AL54" s="538"/>
      <c r="AM54" s="27"/>
      <c r="AO54" s="123"/>
      <c r="AP54" s="123"/>
    </row>
    <row r="55" spans="1:42" s="55" customFormat="1" x14ac:dyDescent="0.3">
      <c r="A55" s="60">
        <v>46040</v>
      </c>
      <c r="B55" s="61"/>
      <c r="C55" s="13"/>
      <c r="D55" s="62"/>
      <c r="E55" s="14"/>
      <c r="F55" s="537"/>
      <c r="G55" s="537"/>
      <c r="H55" s="537"/>
      <c r="I55" s="537"/>
      <c r="J55" s="537"/>
      <c r="K55" s="537"/>
      <c r="L55" s="537"/>
      <c r="M55" s="537"/>
      <c r="N55" s="537"/>
      <c r="O55" s="537"/>
      <c r="P55" s="537"/>
      <c r="Q55" s="537"/>
      <c r="R55" s="537"/>
      <c r="S55" s="537"/>
      <c r="T55" s="537"/>
      <c r="U55" s="537"/>
      <c r="V55" s="537"/>
      <c r="W55" s="537"/>
      <c r="X55" s="537"/>
      <c r="Y55" s="537"/>
      <c r="Z55" s="537"/>
      <c r="AA55" s="537"/>
      <c r="AB55" s="537"/>
      <c r="AC55" s="537"/>
      <c r="AD55" s="537"/>
      <c r="AE55" s="537"/>
      <c r="AF55" s="537"/>
      <c r="AG55" s="537"/>
      <c r="AH55" s="537"/>
      <c r="AI55" s="537"/>
      <c r="AJ55" s="537"/>
      <c r="AK55" s="537"/>
      <c r="AL55" s="538"/>
      <c r="AM55" s="27"/>
      <c r="AO55" s="123"/>
      <c r="AP55" s="123"/>
    </row>
    <row r="56" spans="1:42" s="55" customFormat="1" x14ac:dyDescent="0.3">
      <c r="A56" s="162">
        <v>46041</v>
      </c>
      <c r="B56" s="163"/>
      <c r="C56" s="164" t="s">
        <v>48</v>
      </c>
      <c r="D56" s="165"/>
      <c r="E56" s="166">
        <v>2</v>
      </c>
      <c r="F56" s="529" t="s">
        <v>50</v>
      </c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529"/>
      <c r="AK56" s="529"/>
      <c r="AL56" s="530"/>
      <c r="AM56" s="27"/>
      <c r="AO56" s="123"/>
      <c r="AP56" s="123"/>
    </row>
    <row r="57" spans="1:42" s="55" customFormat="1" x14ac:dyDescent="0.3">
      <c r="A57" s="162">
        <v>46042</v>
      </c>
      <c r="B57" s="163"/>
      <c r="C57" s="164" t="s">
        <v>48</v>
      </c>
      <c r="D57" s="165"/>
      <c r="E57" s="166">
        <v>2</v>
      </c>
      <c r="F57" s="529" t="s">
        <v>50</v>
      </c>
      <c r="G57" s="529"/>
      <c r="H57" s="529"/>
      <c r="I57" s="529"/>
      <c r="J57" s="529"/>
      <c r="K57" s="529"/>
      <c r="L57" s="529"/>
      <c r="M57" s="529"/>
      <c r="N57" s="529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  <c r="AA57" s="529"/>
      <c r="AB57" s="529"/>
      <c r="AC57" s="529"/>
      <c r="AD57" s="529"/>
      <c r="AE57" s="529"/>
      <c r="AF57" s="529"/>
      <c r="AG57" s="529"/>
      <c r="AH57" s="529"/>
      <c r="AI57" s="529"/>
      <c r="AJ57" s="529"/>
      <c r="AK57" s="529"/>
      <c r="AL57" s="530"/>
      <c r="AM57" s="27"/>
      <c r="AO57" s="123"/>
      <c r="AP57" s="123"/>
    </row>
    <row r="58" spans="1:42" s="55" customFormat="1" x14ac:dyDescent="0.3">
      <c r="A58" s="162">
        <v>46043</v>
      </c>
      <c r="B58" s="163"/>
      <c r="C58" s="164"/>
      <c r="D58" s="165"/>
      <c r="E58" s="166"/>
      <c r="F58" s="529"/>
      <c r="G58" s="529"/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529"/>
      <c r="AH58" s="529"/>
      <c r="AI58" s="529"/>
      <c r="AJ58" s="529"/>
      <c r="AK58" s="529"/>
      <c r="AL58" s="530"/>
      <c r="AM58" s="27"/>
      <c r="AO58" s="123"/>
      <c r="AP58" s="123"/>
    </row>
    <row r="59" spans="1:42" s="55" customFormat="1" x14ac:dyDescent="0.3">
      <c r="A59" s="162">
        <v>46044</v>
      </c>
      <c r="B59" s="163"/>
      <c r="C59" s="164" t="s">
        <v>48</v>
      </c>
      <c r="D59" s="165"/>
      <c r="E59" s="166">
        <v>2</v>
      </c>
      <c r="F59" s="529" t="s">
        <v>50</v>
      </c>
      <c r="G59" s="529"/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29"/>
      <c r="AB59" s="529"/>
      <c r="AC59" s="529"/>
      <c r="AD59" s="529"/>
      <c r="AE59" s="529"/>
      <c r="AF59" s="529"/>
      <c r="AG59" s="529"/>
      <c r="AH59" s="529"/>
      <c r="AI59" s="529"/>
      <c r="AJ59" s="529"/>
      <c r="AK59" s="529"/>
      <c r="AL59" s="530"/>
      <c r="AM59" s="27"/>
      <c r="AO59" s="123"/>
      <c r="AP59" s="123"/>
    </row>
    <row r="60" spans="1:42" s="55" customFormat="1" x14ac:dyDescent="0.3">
      <c r="A60" s="162">
        <v>46045</v>
      </c>
      <c r="B60" s="163"/>
      <c r="C60" s="164" t="s">
        <v>48</v>
      </c>
      <c r="D60" s="165"/>
      <c r="E60" s="166">
        <v>2</v>
      </c>
      <c r="F60" s="529" t="s">
        <v>50</v>
      </c>
      <c r="G60" s="529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529"/>
      <c r="AK60" s="529"/>
      <c r="AL60" s="530"/>
      <c r="AM60" s="27"/>
      <c r="AO60" s="123"/>
      <c r="AP60" s="123"/>
    </row>
    <row r="61" spans="1:42" s="55" customFormat="1" x14ac:dyDescent="0.3">
      <c r="A61" s="60">
        <v>46046</v>
      </c>
      <c r="B61" s="61"/>
      <c r="C61" s="13"/>
      <c r="D61" s="62"/>
      <c r="E61" s="14"/>
      <c r="F61" s="537"/>
      <c r="G61" s="537"/>
      <c r="H61" s="537"/>
      <c r="I61" s="537"/>
      <c r="J61" s="537"/>
      <c r="K61" s="537"/>
      <c r="L61" s="537"/>
      <c r="M61" s="537"/>
      <c r="N61" s="537"/>
      <c r="O61" s="537"/>
      <c r="P61" s="537"/>
      <c r="Q61" s="537"/>
      <c r="R61" s="537"/>
      <c r="S61" s="537"/>
      <c r="T61" s="537"/>
      <c r="U61" s="537"/>
      <c r="V61" s="537"/>
      <c r="W61" s="537"/>
      <c r="X61" s="537"/>
      <c r="Y61" s="537"/>
      <c r="Z61" s="537"/>
      <c r="AA61" s="537"/>
      <c r="AB61" s="537"/>
      <c r="AC61" s="537"/>
      <c r="AD61" s="537"/>
      <c r="AE61" s="537"/>
      <c r="AF61" s="537"/>
      <c r="AG61" s="537"/>
      <c r="AH61" s="537"/>
      <c r="AI61" s="537"/>
      <c r="AJ61" s="537"/>
      <c r="AK61" s="537"/>
      <c r="AL61" s="538"/>
      <c r="AM61" s="27"/>
      <c r="AO61" s="123"/>
      <c r="AP61" s="123"/>
    </row>
    <row r="62" spans="1:42" s="55" customFormat="1" x14ac:dyDescent="0.3">
      <c r="A62" s="60">
        <v>46047</v>
      </c>
      <c r="B62" s="61"/>
      <c r="C62" s="13"/>
      <c r="D62" s="62"/>
      <c r="E62" s="14"/>
      <c r="F62" s="537"/>
      <c r="G62" s="537"/>
      <c r="H62" s="537"/>
      <c r="I62" s="537"/>
      <c r="J62" s="537"/>
      <c r="K62" s="537"/>
      <c r="L62" s="537"/>
      <c r="M62" s="537"/>
      <c r="N62" s="537"/>
      <c r="O62" s="537"/>
      <c r="P62" s="537"/>
      <c r="Q62" s="537"/>
      <c r="R62" s="537"/>
      <c r="S62" s="537"/>
      <c r="T62" s="537"/>
      <c r="U62" s="537"/>
      <c r="V62" s="537"/>
      <c r="W62" s="537"/>
      <c r="X62" s="537"/>
      <c r="Y62" s="537"/>
      <c r="Z62" s="537"/>
      <c r="AA62" s="537"/>
      <c r="AB62" s="537"/>
      <c r="AC62" s="537"/>
      <c r="AD62" s="537"/>
      <c r="AE62" s="537"/>
      <c r="AF62" s="537"/>
      <c r="AG62" s="537"/>
      <c r="AH62" s="537"/>
      <c r="AI62" s="537"/>
      <c r="AJ62" s="537"/>
      <c r="AK62" s="537"/>
      <c r="AL62" s="538"/>
      <c r="AM62" s="27"/>
      <c r="AO62" s="123"/>
      <c r="AP62" s="123"/>
    </row>
    <row r="63" spans="1:42" s="55" customFormat="1" x14ac:dyDescent="0.3">
      <c r="A63" s="162">
        <v>46048</v>
      </c>
      <c r="B63" s="163"/>
      <c r="C63" s="164" t="s">
        <v>48</v>
      </c>
      <c r="D63" s="165"/>
      <c r="E63" s="166">
        <v>2</v>
      </c>
      <c r="F63" s="529" t="s">
        <v>50</v>
      </c>
      <c r="G63" s="529"/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529"/>
      <c r="AH63" s="529"/>
      <c r="AI63" s="529"/>
      <c r="AJ63" s="529"/>
      <c r="AK63" s="529"/>
      <c r="AL63" s="530"/>
      <c r="AM63" s="27"/>
      <c r="AO63" s="123"/>
      <c r="AP63" s="123"/>
    </row>
    <row r="64" spans="1:42" s="55" customFormat="1" x14ac:dyDescent="0.3">
      <c r="A64" s="162">
        <v>46049</v>
      </c>
      <c r="B64" s="163"/>
      <c r="C64" s="164" t="s">
        <v>48</v>
      </c>
      <c r="D64" s="165"/>
      <c r="E64" s="166">
        <v>2</v>
      </c>
      <c r="F64" s="529" t="s">
        <v>51</v>
      </c>
      <c r="G64" s="529"/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529"/>
      <c r="AG64" s="529"/>
      <c r="AH64" s="529"/>
      <c r="AI64" s="529"/>
      <c r="AJ64" s="529"/>
      <c r="AK64" s="529"/>
      <c r="AL64" s="530"/>
      <c r="AM64" s="27"/>
      <c r="AO64" s="123"/>
      <c r="AP64" s="123"/>
    </row>
    <row r="65" spans="1:42" s="55" customFormat="1" x14ac:dyDescent="0.3">
      <c r="A65" s="162">
        <v>46050</v>
      </c>
      <c r="B65" s="163"/>
      <c r="C65" s="164" t="s">
        <v>48</v>
      </c>
      <c r="D65" s="165"/>
      <c r="E65" s="166">
        <v>2</v>
      </c>
      <c r="F65" s="529" t="s">
        <v>51</v>
      </c>
      <c r="G65" s="529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529"/>
      <c r="AG65" s="529"/>
      <c r="AH65" s="529"/>
      <c r="AI65" s="529"/>
      <c r="AJ65" s="529"/>
      <c r="AK65" s="529"/>
      <c r="AL65" s="530"/>
      <c r="AM65" s="27"/>
      <c r="AO65" s="123"/>
      <c r="AP65" s="123"/>
    </row>
    <row r="66" spans="1:42" s="55" customFormat="1" x14ac:dyDescent="0.3">
      <c r="A66" s="162">
        <v>46051</v>
      </c>
      <c r="B66" s="163"/>
      <c r="C66" s="164"/>
      <c r="D66" s="165"/>
      <c r="E66" s="166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529"/>
      <c r="AG66" s="529"/>
      <c r="AH66" s="529"/>
      <c r="AI66" s="529"/>
      <c r="AJ66" s="529"/>
      <c r="AK66" s="529"/>
      <c r="AL66" s="530"/>
      <c r="AM66" s="27"/>
      <c r="AO66" s="123"/>
      <c r="AP66" s="123"/>
    </row>
    <row r="67" spans="1:42" s="55" customFormat="1" x14ac:dyDescent="0.3">
      <c r="A67" s="162">
        <v>46052</v>
      </c>
      <c r="B67" s="163"/>
      <c r="C67" s="164" t="s">
        <v>46</v>
      </c>
      <c r="D67" s="165"/>
      <c r="E67" s="166">
        <v>6</v>
      </c>
      <c r="F67" s="529" t="s">
        <v>52</v>
      </c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529"/>
      <c r="AG67" s="529"/>
      <c r="AH67" s="529"/>
      <c r="AI67" s="529"/>
      <c r="AJ67" s="529"/>
      <c r="AK67" s="529"/>
      <c r="AL67" s="530"/>
      <c r="AM67" s="27"/>
      <c r="AO67" s="123"/>
      <c r="AP67" s="123"/>
    </row>
    <row r="68" spans="1:42" s="55" customFormat="1" ht="13.5" thickBot="1" x14ac:dyDescent="0.35">
      <c r="A68" s="60">
        <v>46053</v>
      </c>
      <c r="B68" s="167"/>
      <c r="C68" s="168"/>
      <c r="D68" s="169"/>
      <c r="E68" s="170"/>
      <c r="F68" s="582"/>
      <c r="G68" s="582"/>
      <c r="H68" s="582"/>
      <c r="I68" s="582"/>
      <c r="J68" s="582"/>
      <c r="K68" s="582"/>
      <c r="L68" s="582"/>
      <c r="M68" s="582"/>
      <c r="N68" s="582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3"/>
      <c r="AM68" s="27"/>
      <c r="AO68" s="123"/>
      <c r="AP68" s="123"/>
    </row>
    <row r="69" spans="1:42" s="55" customFormat="1" ht="15" thickBot="1" x14ac:dyDescent="0.35">
      <c r="A69" s="63" t="s">
        <v>53</v>
      </c>
      <c r="B69" s="64"/>
      <c r="C69" s="64"/>
      <c r="D69" s="65"/>
      <c r="E69" s="66">
        <f>SUM(E38:E68)</f>
        <v>30</v>
      </c>
      <c r="F69" s="4"/>
      <c r="G69" s="4"/>
      <c r="H69" s="4"/>
      <c r="I69" s="6"/>
      <c r="J69" s="6"/>
      <c r="K69" s="6"/>
      <c r="L69" s="6"/>
      <c r="M69" s="6"/>
      <c r="N69" s="6"/>
      <c r="O69" s="6"/>
      <c r="P69" s="5"/>
      <c r="Q69" s="5"/>
      <c r="R69" s="5"/>
      <c r="S69" s="5"/>
      <c r="T69" s="5"/>
      <c r="U69" s="5"/>
      <c r="V69" s="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O69" s="123"/>
      <c r="AP69" s="123"/>
    </row>
    <row r="70" spans="1:42" s="55" customFormat="1" ht="13.5" thickBot="1" x14ac:dyDescent="0.35">
      <c r="A70" s="533" t="s">
        <v>54</v>
      </c>
      <c r="B70" s="535" t="s">
        <v>55</v>
      </c>
      <c r="C70" s="536"/>
      <c r="D70" s="535" t="s">
        <v>56</v>
      </c>
      <c r="E70" s="536"/>
      <c r="F70" s="535" t="s">
        <v>46</v>
      </c>
      <c r="G70" s="536"/>
      <c r="H70" s="535" t="s">
        <v>48</v>
      </c>
      <c r="I70" s="536"/>
      <c r="J70" s="525"/>
      <c r="K70" s="522"/>
      <c r="L70" s="522"/>
      <c r="M70" s="522"/>
      <c r="N70" s="6"/>
      <c r="O70" s="6"/>
      <c r="P70" s="5"/>
      <c r="Q70" s="5"/>
      <c r="R70" s="5"/>
      <c r="S70" s="5"/>
      <c r="T70" s="5"/>
      <c r="U70" s="5"/>
      <c r="V70" s="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O70" s="123"/>
      <c r="AP70" s="123"/>
    </row>
    <row r="71" spans="1:42" s="55" customFormat="1" ht="13.5" thickBot="1" x14ac:dyDescent="0.35">
      <c r="A71" s="534"/>
      <c r="B71" s="523">
        <f>SUMIFS($E$38:$E$68,$C$38:$C$68,"WP1")</f>
        <v>0</v>
      </c>
      <c r="C71" s="524"/>
      <c r="D71" s="523">
        <f>SUMIFS($E$38:$E$68,$C$38:$C$68,"WP2")</f>
        <v>0</v>
      </c>
      <c r="E71" s="524"/>
      <c r="F71" s="523">
        <f>SUMIFS($E$38:$E$68,$C$38:$C$68,"WP3")</f>
        <v>12</v>
      </c>
      <c r="G71" s="524"/>
      <c r="H71" s="523">
        <f>SUMIFS($E$38:$E$68,$C$38:$C$68,"WP4")</f>
        <v>18</v>
      </c>
      <c r="I71" s="524"/>
      <c r="J71" s="525"/>
      <c r="K71" s="522"/>
      <c r="L71" s="522"/>
      <c r="M71" s="522"/>
      <c r="N71" s="6"/>
      <c r="O71" s="6"/>
      <c r="P71" s="5"/>
      <c r="Q71" s="5"/>
      <c r="R71" s="5"/>
      <c r="S71" s="5"/>
      <c r="T71" s="5"/>
      <c r="U71" s="5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O71" s="123"/>
      <c r="AP71" s="123"/>
    </row>
    <row r="72" spans="1:42" x14ac:dyDescent="0.3"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5"/>
      <c r="U72" s="5"/>
      <c r="V72" s="5"/>
    </row>
    <row r="73" spans="1:42" x14ac:dyDescent="0.3">
      <c r="I73" s="6"/>
      <c r="J73" s="6"/>
      <c r="K73" s="6"/>
      <c r="L73" s="6"/>
      <c r="M73" s="6"/>
      <c r="N73" s="6"/>
      <c r="O73" s="6"/>
      <c r="P73" s="5"/>
      <c r="Q73" s="5"/>
      <c r="R73" s="5"/>
      <c r="S73" s="5"/>
      <c r="T73" s="5"/>
      <c r="U73" s="5"/>
      <c r="V73" s="5"/>
    </row>
    <row r="74" spans="1:42" x14ac:dyDescent="0.3">
      <c r="I74" s="6"/>
      <c r="J74" s="6"/>
      <c r="K74" s="6"/>
      <c r="L74" s="6"/>
      <c r="M74" s="6"/>
      <c r="N74" s="6"/>
      <c r="O74" s="6"/>
      <c r="P74" s="5"/>
      <c r="Q74" s="5"/>
      <c r="R74" s="5"/>
      <c r="S74" s="5"/>
      <c r="T74" s="5"/>
      <c r="U74" s="5"/>
      <c r="V74" s="5"/>
    </row>
    <row r="75" spans="1:42" x14ac:dyDescent="0.3">
      <c r="I75" s="6"/>
      <c r="J75" s="6"/>
      <c r="K75" s="6"/>
      <c r="L75" s="6"/>
      <c r="M75" s="6"/>
      <c r="N75" s="6"/>
      <c r="O75" s="6"/>
      <c r="P75" s="5"/>
      <c r="Q75" s="5"/>
      <c r="R75" s="5"/>
      <c r="S75" s="5"/>
      <c r="T75" s="5"/>
      <c r="U75" s="5"/>
      <c r="V75" s="5"/>
    </row>
    <row r="76" spans="1:42" x14ac:dyDescent="0.3">
      <c r="I76" s="6"/>
      <c r="J76" s="6"/>
      <c r="K76" s="6"/>
      <c r="L76" s="6"/>
      <c r="M76" s="6"/>
      <c r="N76" s="6"/>
      <c r="O76" s="6"/>
      <c r="P76" s="5"/>
      <c r="Q76" s="5"/>
      <c r="R76" s="5"/>
      <c r="S76" s="5"/>
      <c r="T76" s="5"/>
      <c r="U76" s="5"/>
      <c r="V76" s="5"/>
    </row>
    <row r="77" spans="1:42" x14ac:dyDescent="0.3">
      <c r="I77" s="6"/>
      <c r="J77" s="6"/>
      <c r="K77" s="6"/>
      <c r="L77" s="6"/>
      <c r="M77" s="6"/>
      <c r="N77" s="6"/>
      <c r="O77" s="6"/>
      <c r="P77" s="5"/>
      <c r="Q77" s="5"/>
      <c r="R77" s="5"/>
      <c r="S77" s="5"/>
      <c r="T77" s="5"/>
      <c r="U77" s="5"/>
      <c r="V77" s="5"/>
    </row>
    <row r="78" spans="1:42" x14ac:dyDescent="0.3">
      <c r="I78" s="6"/>
      <c r="J78" s="6"/>
      <c r="K78" s="6"/>
      <c r="L78" s="6"/>
      <c r="M78" s="6"/>
      <c r="N78" s="6"/>
      <c r="O78" s="6"/>
      <c r="P78" s="5"/>
      <c r="Q78" s="5"/>
      <c r="R78" s="5"/>
      <c r="S78" s="5"/>
      <c r="T78" s="5"/>
      <c r="U78" s="5"/>
      <c r="V78" s="5"/>
    </row>
    <row r="79" spans="1:42" x14ac:dyDescent="0.3">
      <c r="I79" s="6"/>
      <c r="J79" s="6"/>
      <c r="K79" s="6"/>
      <c r="L79" s="6"/>
      <c r="M79" s="6"/>
      <c r="N79" s="6"/>
      <c r="O79" s="6"/>
      <c r="P79" s="5"/>
      <c r="Q79" s="5"/>
      <c r="R79" s="5"/>
      <c r="S79" s="5"/>
      <c r="T79" s="5"/>
      <c r="U79" s="5"/>
      <c r="V79" s="5"/>
    </row>
    <row r="80" spans="1:42" x14ac:dyDescent="0.3">
      <c r="A80" s="15"/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5"/>
      <c r="U80" s="5"/>
      <c r="V80" s="5"/>
    </row>
    <row r="81" spans="1:22" x14ac:dyDescent="0.3">
      <c r="I81" s="6"/>
      <c r="J81" s="6"/>
      <c r="K81" s="6"/>
      <c r="L81" s="6"/>
      <c r="M81" s="6"/>
      <c r="N81" s="6"/>
      <c r="O81" s="6"/>
      <c r="P81" s="5"/>
      <c r="Q81" s="5"/>
      <c r="R81" s="5"/>
      <c r="S81" s="5"/>
      <c r="T81" s="5"/>
      <c r="U81" s="5"/>
      <c r="V81" s="5"/>
    </row>
    <row r="82" spans="1:22" x14ac:dyDescent="0.3"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5"/>
      <c r="V82" s="5"/>
    </row>
    <row r="83" spans="1:22" x14ac:dyDescent="0.3"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5"/>
      <c r="U83" s="5"/>
      <c r="V83" s="5"/>
    </row>
    <row r="84" spans="1:22" x14ac:dyDescent="0.3"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5"/>
      <c r="U84" s="5"/>
      <c r="V84" s="5"/>
    </row>
    <row r="85" spans="1:22" x14ac:dyDescent="0.3"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5"/>
      <c r="U85" s="5"/>
      <c r="V85" s="5"/>
    </row>
    <row r="86" spans="1:22" x14ac:dyDescent="0.3"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5"/>
      <c r="U86" s="5"/>
      <c r="V86" s="5"/>
    </row>
    <row r="87" spans="1:22" x14ac:dyDescent="0.3"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5"/>
      <c r="U87" s="5"/>
      <c r="V87" s="5"/>
    </row>
    <row r="88" spans="1:22" x14ac:dyDescent="0.3"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5"/>
      <c r="U88" s="5"/>
      <c r="V88" s="5"/>
    </row>
    <row r="89" spans="1:22" x14ac:dyDescent="0.3"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5"/>
      <c r="U89" s="5"/>
      <c r="V89" s="5"/>
    </row>
    <row r="90" spans="1:22" x14ac:dyDescent="0.3"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5"/>
      <c r="U90" s="5"/>
      <c r="V90" s="5"/>
    </row>
    <row r="91" spans="1:22" x14ac:dyDescent="0.3"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5"/>
      <c r="U91" s="5"/>
      <c r="V91" s="5"/>
    </row>
    <row r="92" spans="1:22" x14ac:dyDescent="0.3"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5"/>
      <c r="U92" s="5"/>
      <c r="V92" s="5"/>
    </row>
    <row r="93" spans="1:22" x14ac:dyDescent="0.3">
      <c r="A93" s="15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5"/>
      <c r="V93" s="5"/>
    </row>
    <row r="94" spans="1:22" x14ac:dyDescent="0.3">
      <c r="A94" s="15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5"/>
      <c r="U94" s="5"/>
      <c r="V94" s="5"/>
    </row>
    <row r="95" spans="1:22" x14ac:dyDescent="0.3">
      <c r="A95" s="15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5"/>
      <c r="U95" s="5"/>
      <c r="V95" s="5"/>
    </row>
    <row r="96" spans="1:22" x14ac:dyDescent="0.3">
      <c r="A96" s="15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5"/>
      <c r="U96" s="5"/>
      <c r="V96" s="5"/>
    </row>
    <row r="97" spans="1:43" x14ac:dyDescent="0.3">
      <c r="A97" s="15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5"/>
      <c r="V97" s="5"/>
    </row>
    <row r="98" spans="1:43" x14ac:dyDescent="0.3">
      <c r="A98" s="15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5"/>
      <c r="U98" s="5"/>
      <c r="V98" s="5"/>
    </row>
    <row r="99" spans="1:43" x14ac:dyDescent="0.3">
      <c r="A99" s="15"/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5"/>
      <c r="U99" s="5"/>
      <c r="V99" s="5"/>
    </row>
    <row r="100" spans="1:43" x14ac:dyDescent="0.3">
      <c r="A100" s="15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5"/>
      <c r="T100" s="5"/>
      <c r="U100" s="5"/>
      <c r="V100" s="5"/>
    </row>
    <row r="101" spans="1:43" x14ac:dyDescent="0.3">
      <c r="A101" s="15"/>
      <c r="I101" s="6"/>
      <c r="J101" s="6"/>
      <c r="K101" s="6"/>
      <c r="L101" s="6"/>
      <c r="M101" s="6"/>
      <c r="N101" s="6"/>
      <c r="O101" s="6"/>
      <c r="P101" s="5"/>
      <c r="Q101" s="5"/>
      <c r="R101" s="5"/>
      <c r="S101" s="5"/>
      <c r="T101" s="5"/>
      <c r="U101" s="5"/>
      <c r="V101" s="5"/>
    </row>
    <row r="102" spans="1:43" ht="13.5" thickBot="1" x14ac:dyDescent="0.35"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5"/>
      <c r="T102" s="5"/>
      <c r="U102" s="5"/>
      <c r="V102" s="5"/>
      <c r="AQ102" s="55"/>
    </row>
    <row r="103" spans="1:43" x14ac:dyDescent="0.3">
      <c r="A103" s="17"/>
      <c r="B103" s="18"/>
      <c r="C103" s="18"/>
      <c r="D103" s="18"/>
      <c r="E103" s="18"/>
      <c r="F103" s="18"/>
      <c r="G103" s="18"/>
      <c r="H103" s="18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20"/>
      <c r="V103" s="20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1"/>
    </row>
    <row r="104" spans="1:43" x14ac:dyDescent="0.3">
      <c r="A104" s="22"/>
      <c r="I104" s="6"/>
      <c r="J104" s="6"/>
      <c r="K104" s="6"/>
      <c r="L104" s="6"/>
      <c r="M104" s="6"/>
      <c r="N104" s="6"/>
      <c r="O104" s="6"/>
      <c r="P104" s="5"/>
      <c r="Q104" s="5"/>
      <c r="R104" s="5"/>
      <c r="S104" s="5"/>
      <c r="T104" s="5"/>
      <c r="U104" s="5"/>
      <c r="V104" s="5"/>
      <c r="AM104" s="23"/>
    </row>
    <row r="105" spans="1:43" x14ac:dyDescent="0.3">
      <c r="A105" s="22"/>
      <c r="AM105" s="23"/>
    </row>
    <row r="106" spans="1:43" ht="14.15" customHeight="1" x14ac:dyDescent="0.3">
      <c r="A106" s="22"/>
      <c r="AM106" s="23"/>
    </row>
    <row r="107" spans="1:43" x14ac:dyDescent="0.3">
      <c r="A107" s="22"/>
      <c r="AM107" s="23"/>
    </row>
    <row r="108" spans="1:43" ht="13.5" thickBot="1" x14ac:dyDescent="0.35">
      <c r="A108" s="28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30"/>
    </row>
    <row r="109" spans="1:43" ht="14.15" customHeight="1" x14ac:dyDescent="0.3">
      <c r="A109" s="584" t="s">
        <v>57</v>
      </c>
      <c r="B109" s="585"/>
      <c r="C109" s="585"/>
      <c r="D109" s="585"/>
      <c r="E109" s="585"/>
      <c r="F109" s="586"/>
      <c r="G109" s="587" t="s">
        <v>58</v>
      </c>
      <c r="H109" s="588"/>
      <c r="I109" s="588"/>
      <c r="J109" s="588"/>
      <c r="K109" s="588"/>
      <c r="L109" s="588"/>
      <c r="M109" s="588"/>
      <c r="N109" s="588"/>
      <c r="O109" s="588"/>
      <c r="P109" s="588"/>
      <c r="Q109" s="588"/>
      <c r="R109" s="588"/>
      <c r="S109" s="588"/>
      <c r="T109" s="588"/>
      <c r="U109" s="588"/>
      <c r="V109" s="588"/>
      <c r="W109" s="588"/>
      <c r="X109" s="588"/>
      <c r="Y109" s="588"/>
      <c r="Z109" s="588"/>
      <c r="AA109" s="588"/>
      <c r="AB109" s="588"/>
      <c r="AC109" s="588"/>
      <c r="AD109" s="588"/>
      <c r="AE109" s="588"/>
      <c r="AF109" s="588"/>
      <c r="AG109" s="588"/>
      <c r="AH109" s="588"/>
      <c r="AI109" s="588"/>
      <c r="AJ109" s="588"/>
      <c r="AK109" s="588"/>
      <c r="AL109" s="588"/>
      <c r="AM109" s="589"/>
      <c r="AN109" s="515"/>
      <c r="AO109" s="25"/>
      <c r="AP109" s="25"/>
    </row>
    <row r="110" spans="1:43" ht="14.15" customHeight="1" x14ac:dyDescent="0.3">
      <c r="A110" s="590" t="s">
        <v>59</v>
      </c>
      <c r="B110" s="591"/>
      <c r="C110" s="591"/>
      <c r="D110" s="591"/>
      <c r="E110" s="591"/>
      <c r="F110" s="592"/>
      <c r="G110" s="593" t="s">
        <v>60</v>
      </c>
      <c r="H110" s="594"/>
      <c r="I110" s="594"/>
      <c r="J110" s="594"/>
      <c r="K110" s="594"/>
      <c r="L110" s="594"/>
      <c r="M110" s="594"/>
      <c r="N110" s="594"/>
      <c r="O110" s="594"/>
      <c r="P110" s="594"/>
      <c r="Q110" s="594"/>
      <c r="R110" s="594"/>
      <c r="S110" s="594"/>
      <c r="T110" s="594"/>
      <c r="U110" s="594"/>
      <c r="V110" s="594"/>
      <c r="W110" s="594"/>
      <c r="X110" s="594"/>
      <c r="Y110" s="594"/>
      <c r="Z110" s="594"/>
      <c r="AA110" s="594"/>
      <c r="AB110" s="594"/>
      <c r="AC110" s="594"/>
      <c r="AD110" s="594"/>
      <c r="AE110" s="594"/>
      <c r="AF110" s="594"/>
      <c r="AG110" s="594"/>
      <c r="AH110" s="594"/>
      <c r="AI110" s="594"/>
      <c r="AJ110" s="594"/>
      <c r="AK110" s="594"/>
      <c r="AL110" s="594"/>
      <c r="AM110" s="595"/>
      <c r="AN110" s="515"/>
      <c r="AO110" s="25"/>
      <c r="AP110" s="25"/>
    </row>
    <row r="111" spans="1:43" ht="14.15" customHeight="1" x14ac:dyDescent="0.3">
      <c r="A111" s="590" t="s">
        <v>61</v>
      </c>
      <c r="B111" s="591"/>
      <c r="C111" s="591"/>
      <c r="D111" s="591"/>
      <c r="E111" s="591"/>
      <c r="F111" s="592"/>
      <c r="G111" s="593" t="s">
        <v>62</v>
      </c>
      <c r="H111" s="594"/>
      <c r="I111" s="594"/>
      <c r="J111" s="594"/>
      <c r="K111" s="594"/>
      <c r="L111" s="594"/>
      <c r="M111" s="594"/>
      <c r="N111" s="594"/>
      <c r="O111" s="594"/>
      <c r="P111" s="594"/>
      <c r="Q111" s="594"/>
      <c r="R111" s="594"/>
      <c r="S111" s="594"/>
      <c r="T111" s="594"/>
      <c r="U111" s="594"/>
      <c r="V111" s="594"/>
      <c r="W111" s="594"/>
      <c r="X111" s="594"/>
      <c r="Y111" s="594"/>
      <c r="Z111" s="594"/>
      <c r="AA111" s="594"/>
      <c r="AB111" s="594"/>
      <c r="AC111" s="594"/>
      <c r="AD111" s="594"/>
      <c r="AE111" s="594"/>
      <c r="AF111" s="594"/>
      <c r="AG111" s="594"/>
      <c r="AH111" s="594"/>
      <c r="AI111" s="594"/>
      <c r="AJ111" s="594"/>
      <c r="AK111" s="594"/>
      <c r="AL111" s="594"/>
      <c r="AM111" s="595"/>
      <c r="AN111" s="515"/>
      <c r="AO111" s="25"/>
      <c r="AP111" s="25"/>
    </row>
    <row r="112" spans="1:43" ht="14.15" customHeight="1" x14ac:dyDescent="0.3">
      <c r="A112" s="590" t="s">
        <v>63</v>
      </c>
      <c r="B112" s="591"/>
      <c r="C112" s="591"/>
      <c r="D112" s="591"/>
      <c r="E112" s="591"/>
      <c r="F112" s="592"/>
      <c r="G112" s="593" t="s">
        <v>64</v>
      </c>
      <c r="H112" s="594"/>
      <c r="I112" s="594"/>
      <c r="J112" s="594"/>
      <c r="K112" s="594"/>
      <c r="L112" s="594"/>
      <c r="M112" s="594"/>
      <c r="N112" s="594"/>
      <c r="O112" s="594"/>
      <c r="P112" s="594"/>
      <c r="Q112" s="594"/>
      <c r="R112" s="594"/>
      <c r="S112" s="594"/>
      <c r="T112" s="594"/>
      <c r="U112" s="594"/>
      <c r="V112" s="594"/>
      <c r="W112" s="594"/>
      <c r="X112" s="594"/>
      <c r="Y112" s="594"/>
      <c r="Z112" s="594"/>
      <c r="AA112" s="594"/>
      <c r="AB112" s="594"/>
      <c r="AC112" s="594"/>
      <c r="AD112" s="594"/>
      <c r="AE112" s="594"/>
      <c r="AF112" s="594"/>
      <c r="AG112" s="594"/>
      <c r="AH112" s="594"/>
      <c r="AI112" s="594"/>
      <c r="AJ112" s="594"/>
      <c r="AK112" s="594"/>
      <c r="AL112" s="594"/>
      <c r="AM112" s="595"/>
      <c r="AN112" s="515"/>
      <c r="AO112" s="25"/>
      <c r="AP112" s="25"/>
    </row>
    <row r="113" spans="1:54" ht="14.15" customHeight="1" thickBot="1" x14ac:dyDescent="0.35">
      <c r="A113" s="590" t="s">
        <v>65</v>
      </c>
      <c r="B113" s="591"/>
      <c r="C113" s="591"/>
      <c r="D113" s="591"/>
      <c r="E113" s="591"/>
      <c r="F113" s="592"/>
      <c r="G113" s="600" t="s">
        <v>66</v>
      </c>
      <c r="H113" s="601"/>
      <c r="I113" s="601"/>
      <c r="J113" s="601"/>
      <c r="K113" s="601"/>
      <c r="L113" s="601"/>
      <c r="M113" s="601"/>
      <c r="N113" s="601"/>
      <c r="O113" s="601"/>
      <c r="P113" s="601"/>
      <c r="Q113" s="601"/>
      <c r="R113" s="601"/>
      <c r="S113" s="601"/>
      <c r="T113" s="601"/>
      <c r="U113" s="601"/>
      <c r="V113" s="601"/>
      <c r="W113" s="601"/>
      <c r="X113" s="601"/>
      <c r="Y113" s="601"/>
      <c r="Z113" s="601"/>
      <c r="AA113" s="601"/>
      <c r="AB113" s="601"/>
      <c r="AC113" s="601"/>
      <c r="AD113" s="601"/>
      <c r="AE113" s="601"/>
      <c r="AF113" s="601"/>
      <c r="AG113" s="601"/>
      <c r="AH113" s="601"/>
      <c r="AI113" s="601"/>
      <c r="AJ113" s="601"/>
      <c r="AK113" s="601"/>
      <c r="AL113" s="601"/>
      <c r="AM113" s="602"/>
      <c r="AN113" s="515"/>
      <c r="AO113" s="25"/>
      <c r="AP113" s="25"/>
    </row>
    <row r="114" spans="1:54" s="10" customFormat="1" ht="28.5" customHeight="1" thickBot="1" x14ac:dyDescent="0.4">
      <c r="A114" s="73" t="s">
        <v>67</v>
      </c>
      <c r="B114" s="603" t="s">
        <v>68</v>
      </c>
      <c r="C114" s="603"/>
      <c r="D114" s="604" t="s">
        <v>69</v>
      </c>
      <c r="E114" s="605"/>
      <c r="F114" s="605"/>
      <c r="G114" s="605"/>
      <c r="H114" s="605"/>
      <c r="I114" s="605"/>
      <c r="J114" s="605"/>
      <c r="K114" s="605"/>
      <c r="L114" s="605"/>
      <c r="M114" s="605"/>
      <c r="N114" s="605"/>
      <c r="O114" s="605"/>
      <c r="P114" s="605"/>
      <c r="Q114" s="605"/>
      <c r="R114" s="605"/>
      <c r="S114" s="605"/>
      <c r="T114" s="605"/>
      <c r="U114" s="605"/>
      <c r="V114" s="605"/>
      <c r="W114" s="605"/>
      <c r="X114" s="605"/>
      <c r="Y114" s="605"/>
      <c r="Z114" s="605"/>
      <c r="AA114" s="605"/>
      <c r="AB114" s="605"/>
      <c r="AC114" s="605"/>
      <c r="AD114" s="605"/>
      <c r="AE114" s="605"/>
      <c r="AF114" s="605"/>
      <c r="AG114" s="605"/>
      <c r="AH114" s="605"/>
      <c r="AI114" s="605"/>
      <c r="AJ114" s="605"/>
      <c r="AK114" s="74" t="s">
        <v>70</v>
      </c>
      <c r="AL114" s="74" t="s">
        <v>71</v>
      </c>
      <c r="AM114" s="75" t="s">
        <v>72</v>
      </c>
      <c r="AN114" s="24" t="s">
        <v>73</v>
      </c>
      <c r="AO114" s="111" t="s">
        <v>74</v>
      </c>
      <c r="AP114" s="112" t="s">
        <v>75</v>
      </c>
      <c r="AQ114" s="114" t="s">
        <v>76</v>
      </c>
      <c r="AR114" s="114" t="s">
        <v>77</v>
      </c>
      <c r="AS114" s="114" t="s">
        <v>78</v>
      </c>
      <c r="AT114" s="114" t="s">
        <v>79</v>
      </c>
      <c r="AU114" s="114" t="s">
        <v>80</v>
      </c>
      <c r="AV114" s="114" t="s">
        <v>81</v>
      </c>
      <c r="AW114" s="114" t="s">
        <v>82</v>
      </c>
      <c r="AX114" s="114" t="s">
        <v>83</v>
      </c>
      <c r="AY114" s="114" t="s">
        <v>84</v>
      </c>
      <c r="AZ114" s="114" t="s">
        <v>85</v>
      </c>
      <c r="BA114" s="114" t="s">
        <v>86</v>
      </c>
      <c r="BB114" s="115" t="s">
        <v>87</v>
      </c>
    </row>
    <row r="115" spans="1:54" s="7" customFormat="1" ht="14.15" customHeight="1" x14ac:dyDescent="0.35">
      <c r="A115" s="100">
        <v>46023</v>
      </c>
      <c r="B115" s="606"/>
      <c r="C115" s="606"/>
      <c r="D115" s="607"/>
      <c r="E115" s="607"/>
      <c r="F115" s="607"/>
      <c r="G115" s="607"/>
      <c r="H115" s="607"/>
      <c r="I115" s="607"/>
      <c r="J115" s="607"/>
      <c r="K115" s="607"/>
      <c r="L115" s="607"/>
      <c r="M115" s="607"/>
      <c r="N115" s="607"/>
      <c r="O115" s="607"/>
      <c r="P115" s="607"/>
      <c r="Q115" s="607"/>
      <c r="R115" s="607"/>
      <c r="S115" s="607"/>
      <c r="T115" s="607"/>
      <c r="U115" s="607"/>
      <c r="V115" s="607"/>
      <c r="W115" s="607"/>
      <c r="X115" s="607"/>
      <c r="Y115" s="607"/>
      <c r="Z115" s="607"/>
      <c r="AA115" s="607"/>
      <c r="AB115" s="607"/>
      <c r="AC115" s="607"/>
      <c r="AD115" s="607"/>
      <c r="AE115" s="607"/>
      <c r="AF115" s="607"/>
      <c r="AG115" s="607"/>
      <c r="AH115" s="607"/>
      <c r="AI115" s="607"/>
      <c r="AJ115" s="607"/>
      <c r="AK115" s="124"/>
      <c r="AL115" s="125"/>
      <c r="AM115" s="96"/>
      <c r="AN115" s="126"/>
      <c r="AO115" s="127">
        <f t="shared" ref="AO115:AO146" si="3">A115</f>
        <v>46023</v>
      </c>
      <c r="AP115" s="128" t="str">
        <f>LEFT(D115,6)</f>
        <v/>
      </c>
      <c r="AQ115" s="129"/>
      <c r="AR115" s="130"/>
      <c r="AS115" s="130"/>
      <c r="AT115" s="131"/>
      <c r="AU115" s="130"/>
      <c r="AV115" s="131"/>
      <c r="AW115" s="130"/>
      <c r="AX115" s="131"/>
      <c r="AY115" s="130"/>
      <c r="AZ115" s="130"/>
      <c r="BA115" s="132"/>
      <c r="BB115" s="133"/>
    </row>
    <row r="116" spans="1:54" s="7" customFormat="1" ht="14.15" customHeight="1" x14ac:dyDescent="0.35">
      <c r="A116" s="77">
        <v>46024</v>
      </c>
      <c r="B116" s="608"/>
      <c r="C116" s="608"/>
      <c r="D116" s="609"/>
      <c r="E116" s="609"/>
      <c r="F116" s="609"/>
      <c r="G116" s="609"/>
      <c r="H116" s="609"/>
      <c r="I116" s="609"/>
      <c r="J116" s="609"/>
      <c r="K116" s="609"/>
      <c r="L116" s="609"/>
      <c r="M116" s="609"/>
      <c r="N116" s="609"/>
      <c r="O116" s="609"/>
      <c r="P116" s="609"/>
      <c r="Q116" s="609"/>
      <c r="R116" s="609"/>
      <c r="S116" s="609"/>
      <c r="T116" s="609"/>
      <c r="U116" s="609"/>
      <c r="V116" s="609"/>
      <c r="W116" s="609"/>
      <c r="X116" s="609"/>
      <c r="Y116" s="609"/>
      <c r="Z116" s="609"/>
      <c r="AA116" s="609"/>
      <c r="AB116" s="609"/>
      <c r="AC116" s="609"/>
      <c r="AD116" s="609"/>
      <c r="AE116" s="609"/>
      <c r="AF116" s="609"/>
      <c r="AG116" s="609"/>
      <c r="AH116" s="609"/>
      <c r="AI116" s="609"/>
      <c r="AJ116" s="609"/>
      <c r="AK116" s="141"/>
      <c r="AL116" s="142"/>
      <c r="AM116" s="191"/>
      <c r="AN116" s="150"/>
      <c r="AO116" s="143">
        <f t="shared" si="3"/>
        <v>46024</v>
      </c>
      <c r="AP116" s="144" t="str">
        <f t="shared" ref="AP116:AP146" si="4">LEFT(D116,6)</f>
        <v/>
      </c>
      <c r="AQ116" s="145"/>
      <c r="AR116" s="146"/>
      <c r="AS116" s="146"/>
      <c r="AT116" s="192"/>
      <c r="AU116" s="146"/>
      <c r="AV116" s="193"/>
      <c r="AW116" s="146"/>
      <c r="AX116" s="147"/>
      <c r="AY116" s="146"/>
      <c r="AZ116" s="151"/>
      <c r="BA116" s="148"/>
      <c r="BB116" s="149"/>
    </row>
    <row r="117" spans="1:54" s="7" customFormat="1" ht="14.15" customHeight="1" x14ac:dyDescent="0.35">
      <c r="A117" s="76">
        <v>46025</v>
      </c>
      <c r="B117" s="596"/>
      <c r="C117" s="596"/>
      <c r="D117" s="597"/>
      <c r="E117" s="597"/>
      <c r="F117" s="597"/>
      <c r="G117" s="597"/>
      <c r="H117" s="597"/>
      <c r="I117" s="597"/>
      <c r="J117" s="597"/>
      <c r="K117" s="597"/>
      <c r="L117" s="597"/>
      <c r="M117" s="597"/>
      <c r="N117" s="597"/>
      <c r="O117" s="597"/>
      <c r="P117" s="597"/>
      <c r="Q117" s="597"/>
      <c r="R117" s="597"/>
      <c r="S117" s="597"/>
      <c r="T117" s="597"/>
      <c r="U117" s="597"/>
      <c r="V117" s="597"/>
      <c r="W117" s="597"/>
      <c r="X117" s="597"/>
      <c r="Y117" s="597"/>
      <c r="Z117" s="597"/>
      <c r="AA117" s="597"/>
      <c r="AB117" s="597"/>
      <c r="AC117" s="597"/>
      <c r="AD117" s="597"/>
      <c r="AE117" s="597"/>
      <c r="AF117" s="597"/>
      <c r="AG117" s="597"/>
      <c r="AH117" s="597"/>
      <c r="AI117" s="597"/>
      <c r="AJ117" s="597"/>
      <c r="AK117" s="134"/>
      <c r="AL117" s="135"/>
      <c r="AM117" s="72"/>
      <c r="AN117" s="110"/>
      <c r="AO117" s="136">
        <f t="shared" si="3"/>
        <v>46025</v>
      </c>
      <c r="AP117" s="137" t="str">
        <f t="shared" si="4"/>
        <v/>
      </c>
      <c r="AQ117" s="104"/>
      <c r="AR117" s="105"/>
      <c r="AS117" s="105"/>
      <c r="AT117" s="108"/>
      <c r="AU117" s="105"/>
      <c r="AV117" s="108"/>
      <c r="AW117" s="105"/>
      <c r="AX117" s="107"/>
      <c r="AY117" s="105"/>
      <c r="AZ117" s="197"/>
      <c r="BA117" s="113"/>
      <c r="BB117" s="140"/>
    </row>
    <row r="118" spans="1:54" s="7" customFormat="1" ht="14.15" customHeight="1" x14ac:dyDescent="0.35">
      <c r="A118" s="76">
        <v>46026</v>
      </c>
      <c r="B118" s="596"/>
      <c r="C118" s="596"/>
      <c r="D118" s="597"/>
      <c r="E118" s="597"/>
      <c r="F118" s="597"/>
      <c r="G118" s="597"/>
      <c r="H118" s="597"/>
      <c r="I118" s="597"/>
      <c r="J118" s="597"/>
      <c r="K118" s="597"/>
      <c r="L118" s="597"/>
      <c r="M118" s="597"/>
      <c r="N118" s="597"/>
      <c r="O118" s="597"/>
      <c r="P118" s="597"/>
      <c r="Q118" s="597"/>
      <c r="R118" s="597"/>
      <c r="S118" s="597"/>
      <c r="T118" s="597"/>
      <c r="U118" s="597"/>
      <c r="V118" s="597"/>
      <c r="W118" s="597"/>
      <c r="X118" s="597"/>
      <c r="Y118" s="597"/>
      <c r="Z118" s="597"/>
      <c r="AA118" s="597"/>
      <c r="AB118" s="597"/>
      <c r="AC118" s="597"/>
      <c r="AD118" s="597"/>
      <c r="AE118" s="597"/>
      <c r="AF118" s="597"/>
      <c r="AG118" s="597"/>
      <c r="AH118" s="597"/>
      <c r="AI118" s="597"/>
      <c r="AJ118" s="597"/>
      <c r="AK118" s="134"/>
      <c r="AL118" s="135"/>
      <c r="AM118" s="72"/>
      <c r="AN118" s="110"/>
      <c r="AO118" s="136">
        <f t="shared" si="3"/>
        <v>46026</v>
      </c>
      <c r="AP118" s="137" t="str">
        <f t="shared" si="4"/>
        <v/>
      </c>
      <c r="AQ118" s="104"/>
      <c r="AR118" s="138"/>
      <c r="AS118" s="105"/>
      <c r="AT118" s="139"/>
      <c r="AU118" s="105"/>
      <c r="AV118" s="139"/>
      <c r="AW118" s="105"/>
      <c r="AX118" s="106"/>
      <c r="AY118" s="105"/>
      <c r="AZ118" s="106"/>
      <c r="BA118" s="113"/>
      <c r="BB118" s="140"/>
    </row>
    <row r="119" spans="1:54" s="7" customFormat="1" ht="27" customHeight="1" x14ac:dyDescent="0.35">
      <c r="A119" s="171">
        <v>46027</v>
      </c>
      <c r="B119" s="598"/>
      <c r="C119" s="598"/>
      <c r="D119" s="599"/>
      <c r="E119" s="599"/>
      <c r="F119" s="599"/>
      <c r="G119" s="599"/>
      <c r="H119" s="599"/>
      <c r="I119" s="599"/>
      <c r="J119" s="599"/>
      <c r="K119" s="599"/>
      <c r="L119" s="599"/>
      <c r="M119" s="599"/>
      <c r="N119" s="599"/>
      <c r="O119" s="599"/>
      <c r="P119" s="599"/>
      <c r="Q119" s="599"/>
      <c r="R119" s="599"/>
      <c r="S119" s="599"/>
      <c r="T119" s="599"/>
      <c r="U119" s="599"/>
      <c r="V119" s="599"/>
      <c r="W119" s="599"/>
      <c r="X119" s="599"/>
      <c r="Y119" s="599"/>
      <c r="Z119" s="599"/>
      <c r="AA119" s="599"/>
      <c r="AB119" s="599"/>
      <c r="AC119" s="599"/>
      <c r="AD119" s="599"/>
      <c r="AE119" s="599"/>
      <c r="AF119" s="599"/>
      <c r="AG119" s="599"/>
      <c r="AH119" s="599"/>
      <c r="AI119" s="599"/>
      <c r="AJ119" s="599"/>
      <c r="AK119" s="172">
        <v>86.35</v>
      </c>
      <c r="AL119" s="173" t="s">
        <v>5</v>
      </c>
      <c r="AM119" s="174" t="str">
        <f>IF(AL119="CO", "CO", IF(COUNTIF(AO:AO, A119)=0, 0, (8-SUMIF(AO:AO, A119, AL:AL)) / COUNTIF(AO:AO, A119)))</f>
        <v>CO</v>
      </c>
      <c r="AN119" s="175"/>
      <c r="AO119" s="176">
        <f t="shared" si="3"/>
        <v>46027</v>
      </c>
      <c r="AP119" s="177" t="str">
        <f t="shared" si="4"/>
        <v/>
      </c>
      <c r="AQ119" s="178"/>
      <c r="AR119" s="183"/>
      <c r="AS119" s="179"/>
      <c r="AT119" s="71"/>
      <c r="AU119" s="179"/>
      <c r="AV119" s="185"/>
      <c r="AW119" s="179"/>
      <c r="AX119" s="103"/>
      <c r="AY119" s="179"/>
      <c r="AZ119" s="103"/>
      <c r="BA119" s="181"/>
      <c r="BB119" s="182"/>
    </row>
    <row r="120" spans="1:54" s="7" customFormat="1" ht="14.15" customHeight="1" x14ac:dyDescent="0.35">
      <c r="A120" s="77">
        <v>46028</v>
      </c>
      <c r="B120" s="608"/>
      <c r="C120" s="608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09"/>
      <c r="P120" s="609"/>
      <c r="Q120" s="609"/>
      <c r="R120" s="609"/>
      <c r="S120" s="609"/>
      <c r="T120" s="609"/>
      <c r="U120" s="609"/>
      <c r="V120" s="609"/>
      <c r="W120" s="609"/>
      <c r="X120" s="609"/>
      <c r="Y120" s="609"/>
      <c r="Z120" s="609"/>
      <c r="AA120" s="609"/>
      <c r="AB120" s="609"/>
      <c r="AC120" s="609"/>
      <c r="AD120" s="609"/>
      <c r="AE120" s="609"/>
      <c r="AF120" s="609"/>
      <c r="AG120" s="609"/>
      <c r="AH120" s="609"/>
      <c r="AI120" s="609"/>
      <c r="AJ120" s="609"/>
      <c r="AK120" s="141"/>
      <c r="AL120" s="142"/>
      <c r="AM120" s="191"/>
      <c r="AN120" s="150"/>
      <c r="AO120" s="143">
        <f t="shared" si="3"/>
        <v>46028</v>
      </c>
      <c r="AP120" s="144" t="str">
        <f t="shared" si="4"/>
        <v/>
      </c>
      <c r="AQ120" s="145"/>
      <c r="AR120" s="194"/>
      <c r="AS120" s="146"/>
      <c r="AT120" s="193"/>
      <c r="AU120" s="146"/>
      <c r="AV120" s="193"/>
      <c r="AW120" s="146"/>
      <c r="AX120" s="193"/>
      <c r="AY120" s="146"/>
      <c r="AZ120" s="148"/>
      <c r="BA120" s="148"/>
      <c r="BB120" s="149"/>
    </row>
    <row r="121" spans="1:54" s="7" customFormat="1" ht="14.15" customHeight="1" x14ac:dyDescent="0.35">
      <c r="A121" s="77">
        <v>46029</v>
      </c>
      <c r="B121" s="608"/>
      <c r="C121" s="608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609"/>
      <c r="AB121" s="609"/>
      <c r="AC121" s="609"/>
      <c r="AD121" s="609"/>
      <c r="AE121" s="609"/>
      <c r="AF121" s="609"/>
      <c r="AG121" s="609"/>
      <c r="AH121" s="609"/>
      <c r="AI121" s="609"/>
      <c r="AJ121" s="609"/>
      <c r="AK121" s="141"/>
      <c r="AL121" s="142"/>
      <c r="AM121" s="191"/>
      <c r="AN121" s="195"/>
      <c r="AO121" s="143">
        <f t="shared" si="3"/>
        <v>46029</v>
      </c>
      <c r="AP121" s="144" t="str">
        <f t="shared" si="4"/>
        <v/>
      </c>
      <c r="AQ121" s="145"/>
      <c r="AR121" s="146"/>
      <c r="AS121" s="146"/>
      <c r="AT121" s="193"/>
      <c r="AU121" s="146"/>
      <c r="AV121" s="196"/>
      <c r="AW121" s="146"/>
      <c r="AX121" s="147"/>
      <c r="AY121" s="146"/>
      <c r="AZ121" s="146"/>
      <c r="BA121" s="148"/>
      <c r="BB121" s="149"/>
    </row>
    <row r="122" spans="1:54" s="7" customFormat="1" ht="27" customHeight="1" x14ac:dyDescent="0.35">
      <c r="A122" s="171">
        <v>46030</v>
      </c>
      <c r="B122" s="598"/>
      <c r="C122" s="598"/>
      <c r="D122" s="599"/>
      <c r="E122" s="599"/>
      <c r="F122" s="599"/>
      <c r="G122" s="599"/>
      <c r="H122" s="599"/>
      <c r="I122" s="599"/>
      <c r="J122" s="599"/>
      <c r="K122" s="599"/>
      <c r="L122" s="599"/>
      <c r="M122" s="599"/>
      <c r="N122" s="599"/>
      <c r="O122" s="599"/>
      <c r="P122" s="599"/>
      <c r="Q122" s="599"/>
      <c r="R122" s="599"/>
      <c r="S122" s="599"/>
      <c r="T122" s="599"/>
      <c r="U122" s="599"/>
      <c r="V122" s="599"/>
      <c r="W122" s="599"/>
      <c r="X122" s="599"/>
      <c r="Y122" s="599"/>
      <c r="Z122" s="599"/>
      <c r="AA122" s="599"/>
      <c r="AB122" s="599"/>
      <c r="AC122" s="599"/>
      <c r="AD122" s="599"/>
      <c r="AE122" s="599"/>
      <c r="AF122" s="599"/>
      <c r="AG122" s="599"/>
      <c r="AH122" s="599"/>
      <c r="AI122" s="599"/>
      <c r="AJ122" s="599"/>
      <c r="AK122" s="172">
        <v>86.35</v>
      </c>
      <c r="AL122" s="173" t="s">
        <v>5</v>
      </c>
      <c r="AM122" s="174" t="str">
        <f>IF(AL122="CO", "CO", IF(COUNTIF(AO:AO, A122)=0, 0, (8-SUMIF(AO:AO, A122, AL:AL)) / COUNTIF(AO:AO, A122)))</f>
        <v>CO</v>
      </c>
      <c r="AN122" s="175"/>
      <c r="AO122" s="176">
        <f t="shared" si="3"/>
        <v>46030</v>
      </c>
      <c r="AP122" s="177" t="str">
        <f t="shared" si="4"/>
        <v/>
      </c>
      <c r="AQ122" s="178"/>
      <c r="AR122" s="179"/>
      <c r="AS122" s="179"/>
      <c r="AT122" s="180"/>
      <c r="AU122" s="179"/>
      <c r="AV122" s="180"/>
      <c r="AW122" s="179"/>
      <c r="AX122" s="102"/>
      <c r="AY122" s="179"/>
      <c r="AZ122" s="179"/>
      <c r="BA122" s="181"/>
      <c r="BB122" s="182"/>
    </row>
    <row r="123" spans="1:54" s="7" customFormat="1" ht="27" customHeight="1" x14ac:dyDescent="0.35">
      <c r="A123" s="171">
        <v>46031</v>
      </c>
      <c r="B123" s="598"/>
      <c r="C123" s="598"/>
      <c r="D123" s="599"/>
      <c r="E123" s="599"/>
      <c r="F123" s="599"/>
      <c r="G123" s="599"/>
      <c r="H123" s="599"/>
      <c r="I123" s="599"/>
      <c r="J123" s="599"/>
      <c r="K123" s="599"/>
      <c r="L123" s="599"/>
      <c r="M123" s="599"/>
      <c r="N123" s="599"/>
      <c r="O123" s="599"/>
      <c r="P123" s="599"/>
      <c r="Q123" s="599"/>
      <c r="R123" s="599"/>
      <c r="S123" s="599"/>
      <c r="T123" s="599"/>
      <c r="U123" s="599"/>
      <c r="V123" s="599"/>
      <c r="W123" s="599"/>
      <c r="X123" s="599"/>
      <c r="Y123" s="599"/>
      <c r="Z123" s="599"/>
      <c r="AA123" s="599"/>
      <c r="AB123" s="599"/>
      <c r="AC123" s="599"/>
      <c r="AD123" s="599"/>
      <c r="AE123" s="599"/>
      <c r="AF123" s="599"/>
      <c r="AG123" s="599"/>
      <c r="AH123" s="599"/>
      <c r="AI123" s="599"/>
      <c r="AJ123" s="599"/>
      <c r="AK123" s="172">
        <v>86.35</v>
      </c>
      <c r="AL123" s="173" t="s">
        <v>5</v>
      </c>
      <c r="AM123" s="187" t="str">
        <f>IF(AL123="CO", "CO", IF(COUNTIF(AO:AO, A123)=0, 0, (8-SUMIF(AO:AO, A123, AL:AL)) / COUNTIF(AO:AO, A123)))</f>
        <v>CO</v>
      </c>
      <c r="AN123" s="175"/>
      <c r="AO123" s="176">
        <f t="shared" si="3"/>
        <v>46031</v>
      </c>
      <c r="AP123" s="177" t="str">
        <f t="shared" si="4"/>
        <v/>
      </c>
      <c r="AQ123" s="178"/>
      <c r="AR123" s="179"/>
      <c r="AS123" s="179"/>
      <c r="AT123" s="102"/>
      <c r="AU123" s="179"/>
      <c r="AV123" s="102"/>
      <c r="AW123" s="179"/>
      <c r="AX123" s="102"/>
      <c r="AY123" s="179"/>
      <c r="AZ123" s="179"/>
      <c r="BA123" s="181"/>
      <c r="BB123" s="182"/>
    </row>
    <row r="124" spans="1:54" s="7" customFormat="1" ht="14.15" customHeight="1" x14ac:dyDescent="0.35">
      <c r="A124" s="76">
        <v>46032</v>
      </c>
      <c r="B124" s="596"/>
      <c r="C124" s="596"/>
      <c r="D124" s="597"/>
      <c r="E124" s="597"/>
      <c r="F124" s="597"/>
      <c r="G124" s="597"/>
      <c r="H124" s="597"/>
      <c r="I124" s="597"/>
      <c r="J124" s="597"/>
      <c r="K124" s="597"/>
      <c r="L124" s="597"/>
      <c r="M124" s="597"/>
      <c r="N124" s="597"/>
      <c r="O124" s="597"/>
      <c r="P124" s="597"/>
      <c r="Q124" s="597"/>
      <c r="R124" s="597"/>
      <c r="S124" s="597"/>
      <c r="T124" s="597"/>
      <c r="U124" s="597"/>
      <c r="V124" s="597"/>
      <c r="W124" s="597"/>
      <c r="X124" s="597"/>
      <c r="Y124" s="597"/>
      <c r="Z124" s="597"/>
      <c r="AA124" s="597"/>
      <c r="AB124" s="597"/>
      <c r="AC124" s="597"/>
      <c r="AD124" s="597"/>
      <c r="AE124" s="597"/>
      <c r="AF124" s="597"/>
      <c r="AG124" s="597"/>
      <c r="AH124" s="597"/>
      <c r="AI124" s="597"/>
      <c r="AJ124" s="597"/>
      <c r="AK124" s="134"/>
      <c r="AL124" s="135"/>
      <c r="AM124" s="67"/>
      <c r="AN124" s="110"/>
      <c r="AO124" s="136">
        <f t="shared" si="3"/>
        <v>46032</v>
      </c>
      <c r="AP124" s="137" t="str">
        <f t="shared" si="4"/>
        <v/>
      </c>
      <c r="AQ124" s="104"/>
      <c r="AR124" s="105"/>
      <c r="AS124" s="105"/>
      <c r="AT124" s="108"/>
      <c r="AU124" s="105"/>
      <c r="AV124" s="107"/>
      <c r="AW124" s="105"/>
      <c r="AX124" s="107"/>
      <c r="AY124" s="105"/>
      <c r="AZ124" s="105"/>
      <c r="BA124" s="113"/>
      <c r="BB124" s="140"/>
    </row>
    <row r="125" spans="1:54" s="7" customFormat="1" ht="14.15" customHeight="1" x14ac:dyDescent="0.35">
      <c r="A125" s="76">
        <v>46033</v>
      </c>
      <c r="B125" s="596"/>
      <c r="C125" s="596"/>
      <c r="D125" s="597"/>
      <c r="E125" s="597"/>
      <c r="F125" s="597"/>
      <c r="G125" s="597"/>
      <c r="H125" s="597"/>
      <c r="I125" s="597"/>
      <c r="J125" s="597"/>
      <c r="K125" s="597"/>
      <c r="L125" s="597"/>
      <c r="M125" s="597"/>
      <c r="N125" s="597"/>
      <c r="O125" s="597"/>
      <c r="P125" s="597"/>
      <c r="Q125" s="597"/>
      <c r="R125" s="597"/>
      <c r="S125" s="597"/>
      <c r="T125" s="597"/>
      <c r="U125" s="597"/>
      <c r="V125" s="597"/>
      <c r="W125" s="597"/>
      <c r="X125" s="597"/>
      <c r="Y125" s="597"/>
      <c r="Z125" s="597"/>
      <c r="AA125" s="597"/>
      <c r="AB125" s="597"/>
      <c r="AC125" s="597"/>
      <c r="AD125" s="597"/>
      <c r="AE125" s="597"/>
      <c r="AF125" s="597"/>
      <c r="AG125" s="597"/>
      <c r="AH125" s="597"/>
      <c r="AI125" s="597"/>
      <c r="AJ125" s="597"/>
      <c r="AK125" s="134"/>
      <c r="AL125" s="135"/>
      <c r="AM125" s="67"/>
      <c r="AN125" s="110"/>
      <c r="AO125" s="136">
        <f t="shared" si="3"/>
        <v>46033</v>
      </c>
      <c r="AP125" s="137" t="str">
        <f t="shared" si="4"/>
        <v/>
      </c>
      <c r="AQ125" s="104"/>
      <c r="AR125" s="105"/>
      <c r="AS125" s="105"/>
      <c r="AT125" s="108"/>
      <c r="AU125" s="105"/>
      <c r="AV125" s="107"/>
      <c r="AW125" s="105"/>
      <c r="AX125" s="107"/>
      <c r="AY125" s="105"/>
      <c r="AZ125" s="105"/>
      <c r="BA125" s="113"/>
      <c r="BB125" s="140"/>
    </row>
    <row r="126" spans="1:54" s="7" customFormat="1" ht="27" customHeight="1" x14ac:dyDescent="0.35">
      <c r="A126" s="171">
        <v>46034</v>
      </c>
      <c r="B126" s="598" t="s">
        <v>88</v>
      </c>
      <c r="C126" s="598"/>
      <c r="D126" s="599" t="s">
        <v>89</v>
      </c>
      <c r="E126" s="599"/>
      <c r="F126" s="599"/>
      <c r="G126" s="599"/>
      <c r="H126" s="599"/>
      <c r="I126" s="599"/>
      <c r="J126" s="599"/>
      <c r="K126" s="599"/>
      <c r="L126" s="599"/>
      <c r="M126" s="599"/>
      <c r="N126" s="599"/>
      <c r="O126" s="599"/>
      <c r="P126" s="599"/>
      <c r="Q126" s="599"/>
      <c r="R126" s="599"/>
      <c r="S126" s="599"/>
      <c r="T126" s="599"/>
      <c r="U126" s="599"/>
      <c r="V126" s="599"/>
      <c r="W126" s="599"/>
      <c r="X126" s="599"/>
      <c r="Y126" s="599"/>
      <c r="Z126" s="599"/>
      <c r="AA126" s="599"/>
      <c r="AB126" s="599"/>
      <c r="AC126" s="599"/>
      <c r="AD126" s="599"/>
      <c r="AE126" s="599"/>
      <c r="AF126" s="599"/>
      <c r="AG126" s="599"/>
      <c r="AH126" s="599"/>
      <c r="AI126" s="599"/>
      <c r="AJ126" s="599"/>
      <c r="AK126" s="172">
        <v>86.35</v>
      </c>
      <c r="AL126" s="173">
        <v>6</v>
      </c>
      <c r="AM126" s="187">
        <f>IF(AL126="CO", "CO", IF(COUNTIF(AO:AO, A126)=0, 0, (8-SUMIF(AO:AO, A126, AL:AL)) / COUNTIF(AO:AO, A126)))</f>
        <v>2</v>
      </c>
      <c r="AN126" s="244" t="s">
        <v>90</v>
      </c>
      <c r="AO126" s="176">
        <f t="shared" si="3"/>
        <v>46034</v>
      </c>
      <c r="AP126" s="177" t="str">
        <f t="shared" si="4"/>
        <v>SA3.4.</v>
      </c>
      <c r="AQ126" s="178" t="s">
        <v>91</v>
      </c>
      <c r="AR126" s="183"/>
      <c r="AS126" s="179"/>
      <c r="AT126" s="184"/>
      <c r="AU126" s="179"/>
      <c r="AV126" s="180"/>
      <c r="AW126" s="179"/>
      <c r="AX126" s="102"/>
      <c r="AY126" s="179"/>
      <c r="AZ126" s="179"/>
      <c r="BA126" s="181"/>
      <c r="BB126" s="182"/>
    </row>
    <row r="127" spans="1:54" s="7" customFormat="1" ht="27" customHeight="1" x14ac:dyDescent="0.35">
      <c r="A127" s="171">
        <v>46035</v>
      </c>
      <c r="B127" s="598" t="s">
        <v>88</v>
      </c>
      <c r="C127" s="598"/>
      <c r="D127" s="599" t="s">
        <v>89</v>
      </c>
      <c r="E127" s="599"/>
      <c r="F127" s="599"/>
      <c r="G127" s="599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599"/>
      <c r="AB127" s="599"/>
      <c r="AC127" s="599"/>
      <c r="AD127" s="599"/>
      <c r="AE127" s="599"/>
      <c r="AF127" s="599"/>
      <c r="AG127" s="599"/>
      <c r="AH127" s="599"/>
      <c r="AI127" s="599"/>
      <c r="AJ127" s="599"/>
      <c r="AK127" s="172">
        <v>86.35</v>
      </c>
      <c r="AL127" s="173">
        <v>6</v>
      </c>
      <c r="AM127" s="187">
        <f>IF(AL127="CO", "CO", IF(COUNTIF(AO:AO, A127)=0, 0, (8-SUMIF(AO:AO, A127, AL:AL)) / COUNTIF(AO:AO, A127)))</f>
        <v>2</v>
      </c>
      <c r="AN127" s="244" t="s">
        <v>90</v>
      </c>
      <c r="AO127" s="176">
        <f t="shared" si="3"/>
        <v>46035</v>
      </c>
      <c r="AP127" s="177" t="str">
        <f t="shared" si="4"/>
        <v>SA3.4.</v>
      </c>
      <c r="AQ127" s="178" t="s">
        <v>91</v>
      </c>
      <c r="AR127" s="183"/>
      <c r="AS127" s="179"/>
      <c r="AT127" s="180"/>
      <c r="AU127" s="179"/>
      <c r="AV127" s="180"/>
      <c r="AW127" s="179"/>
      <c r="AX127" s="102"/>
      <c r="AY127" s="179"/>
      <c r="AZ127" s="179"/>
      <c r="BA127" s="181"/>
      <c r="BB127" s="182"/>
    </row>
    <row r="128" spans="1:54" s="7" customFormat="1" ht="27" customHeight="1" x14ac:dyDescent="0.35">
      <c r="A128" s="171">
        <v>46036</v>
      </c>
      <c r="B128" s="598" t="s">
        <v>88</v>
      </c>
      <c r="C128" s="598"/>
      <c r="D128" s="599" t="s">
        <v>89</v>
      </c>
      <c r="E128" s="599"/>
      <c r="F128" s="599"/>
      <c r="G128" s="599"/>
      <c r="H128" s="599"/>
      <c r="I128" s="599"/>
      <c r="J128" s="599"/>
      <c r="K128" s="599"/>
      <c r="L128" s="599"/>
      <c r="M128" s="599"/>
      <c r="N128" s="599"/>
      <c r="O128" s="599"/>
      <c r="P128" s="599"/>
      <c r="Q128" s="599"/>
      <c r="R128" s="599"/>
      <c r="S128" s="599"/>
      <c r="T128" s="599"/>
      <c r="U128" s="599"/>
      <c r="V128" s="599"/>
      <c r="W128" s="599"/>
      <c r="X128" s="599"/>
      <c r="Y128" s="599"/>
      <c r="Z128" s="599"/>
      <c r="AA128" s="599"/>
      <c r="AB128" s="599"/>
      <c r="AC128" s="599"/>
      <c r="AD128" s="599"/>
      <c r="AE128" s="599"/>
      <c r="AF128" s="599"/>
      <c r="AG128" s="599"/>
      <c r="AH128" s="599"/>
      <c r="AI128" s="599"/>
      <c r="AJ128" s="599"/>
      <c r="AK128" s="172">
        <v>86.35</v>
      </c>
      <c r="AL128" s="173">
        <v>6</v>
      </c>
      <c r="AM128" s="187">
        <f>IF(AL128="CO", "CO", IF(COUNTIF(AO:AO, A128)=0, 0, (8-SUMIF(AO:AO, A128, AL:AL)) / COUNTIF(AO:AO, A128)))</f>
        <v>2</v>
      </c>
      <c r="AN128" s="244" t="s">
        <v>90</v>
      </c>
      <c r="AO128" s="176">
        <f t="shared" si="3"/>
        <v>46036</v>
      </c>
      <c r="AP128" s="177" t="str">
        <f t="shared" si="4"/>
        <v>SA3.4.</v>
      </c>
      <c r="AQ128" s="178" t="s">
        <v>91</v>
      </c>
      <c r="AR128" s="179"/>
      <c r="AS128" s="179"/>
      <c r="AT128" s="180"/>
      <c r="AU128" s="179"/>
      <c r="AV128" s="188"/>
      <c r="AW128" s="179"/>
      <c r="AX128" s="102"/>
      <c r="AY128" s="179"/>
      <c r="AZ128" s="179"/>
      <c r="BA128" s="181"/>
      <c r="BB128" s="182"/>
    </row>
    <row r="129" spans="1:54" s="7" customFormat="1" ht="27" customHeight="1" x14ac:dyDescent="0.35">
      <c r="A129" s="171">
        <v>46037</v>
      </c>
      <c r="B129" s="598" t="s">
        <v>88</v>
      </c>
      <c r="C129" s="598"/>
      <c r="D129" s="599" t="s">
        <v>89</v>
      </c>
      <c r="E129" s="599"/>
      <c r="F129" s="599"/>
      <c r="G129" s="599"/>
      <c r="H129" s="599"/>
      <c r="I129" s="599"/>
      <c r="J129" s="599"/>
      <c r="K129" s="599"/>
      <c r="L129" s="599"/>
      <c r="M129" s="599"/>
      <c r="N129" s="599"/>
      <c r="O129" s="599"/>
      <c r="P129" s="599"/>
      <c r="Q129" s="599"/>
      <c r="R129" s="599"/>
      <c r="S129" s="599"/>
      <c r="T129" s="599"/>
      <c r="U129" s="599"/>
      <c r="V129" s="599"/>
      <c r="W129" s="599"/>
      <c r="X129" s="599"/>
      <c r="Y129" s="599"/>
      <c r="Z129" s="599"/>
      <c r="AA129" s="599"/>
      <c r="AB129" s="599"/>
      <c r="AC129" s="599"/>
      <c r="AD129" s="599"/>
      <c r="AE129" s="599"/>
      <c r="AF129" s="599"/>
      <c r="AG129" s="599"/>
      <c r="AH129" s="599"/>
      <c r="AI129" s="599"/>
      <c r="AJ129" s="599"/>
      <c r="AK129" s="172">
        <v>86.35</v>
      </c>
      <c r="AL129" s="173">
        <v>6</v>
      </c>
      <c r="AM129" s="174">
        <f>IF(AL129="CO", "CO", IF(COUNTIF(AO:AO, A129)=0, 0, (8-SUMIF(AO:AO, A129, AL:AL)) / COUNTIF(AO:AO, A129)))</f>
        <v>2</v>
      </c>
      <c r="AN129" s="247" t="s">
        <v>92</v>
      </c>
      <c r="AO129" s="176">
        <f t="shared" si="3"/>
        <v>46037</v>
      </c>
      <c r="AP129" s="177" t="str">
        <f t="shared" si="4"/>
        <v>SA3.4.</v>
      </c>
      <c r="AQ129" s="178" t="s">
        <v>91</v>
      </c>
      <c r="AR129" s="183"/>
      <c r="AS129" s="179"/>
      <c r="AT129" s="180"/>
      <c r="AU129" s="179"/>
      <c r="AV129" s="180"/>
      <c r="AW129" s="179"/>
      <c r="AX129" s="102"/>
      <c r="AY129" s="179"/>
      <c r="AZ129" s="179"/>
      <c r="BA129" s="181"/>
      <c r="BB129" s="182"/>
    </row>
    <row r="130" spans="1:54" s="7" customFormat="1" ht="27" customHeight="1" x14ac:dyDescent="0.35">
      <c r="A130" s="171">
        <v>46038</v>
      </c>
      <c r="B130" s="598" t="s">
        <v>88</v>
      </c>
      <c r="C130" s="598"/>
      <c r="D130" s="599" t="s">
        <v>89</v>
      </c>
      <c r="E130" s="599"/>
      <c r="F130" s="599"/>
      <c r="G130" s="599"/>
      <c r="H130" s="599"/>
      <c r="I130" s="599"/>
      <c r="J130" s="599"/>
      <c r="K130" s="599"/>
      <c r="L130" s="599"/>
      <c r="M130" s="599"/>
      <c r="N130" s="599"/>
      <c r="O130" s="599"/>
      <c r="P130" s="599"/>
      <c r="Q130" s="599"/>
      <c r="R130" s="599"/>
      <c r="S130" s="599"/>
      <c r="T130" s="599"/>
      <c r="U130" s="599"/>
      <c r="V130" s="599"/>
      <c r="W130" s="599"/>
      <c r="X130" s="599"/>
      <c r="Y130" s="599"/>
      <c r="Z130" s="599"/>
      <c r="AA130" s="599"/>
      <c r="AB130" s="599"/>
      <c r="AC130" s="599"/>
      <c r="AD130" s="599"/>
      <c r="AE130" s="599"/>
      <c r="AF130" s="599"/>
      <c r="AG130" s="599"/>
      <c r="AH130" s="599"/>
      <c r="AI130" s="599"/>
      <c r="AJ130" s="599"/>
      <c r="AK130" s="172">
        <v>86.35</v>
      </c>
      <c r="AL130" s="173">
        <v>6</v>
      </c>
      <c r="AM130" s="174">
        <f>IF(AL130="CO", "CO", IF(COUNTIF(AO:AO, A130)=0, 0, (8-SUMIF(AO:AO, A130, AL:AL)) / COUNTIF(AO:AO, A130)))</f>
        <v>2</v>
      </c>
      <c r="AN130" s="247" t="s">
        <v>92</v>
      </c>
      <c r="AO130" s="176">
        <f t="shared" si="3"/>
        <v>46038</v>
      </c>
      <c r="AP130" s="177" t="str">
        <f t="shared" si="4"/>
        <v>SA3.4.</v>
      </c>
      <c r="AQ130" s="178" t="s">
        <v>91</v>
      </c>
      <c r="AR130" s="179"/>
      <c r="AS130" s="179"/>
      <c r="AT130" s="103"/>
      <c r="AU130" s="179"/>
      <c r="AV130" s="248" t="s">
        <v>93</v>
      </c>
      <c r="AW130" s="179"/>
      <c r="AX130" s="102"/>
      <c r="AY130" s="179"/>
      <c r="AZ130" s="179"/>
      <c r="BA130" s="181"/>
      <c r="BB130" s="182"/>
    </row>
    <row r="131" spans="1:54" s="7" customFormat="1" ht="14.15" customHeight="1" x14ac:dyDescent="0.35">
      <c r="A131" s="76">
        <v>46039</v>
      </c>
      <c r="B131" s="596"/>
      <c r="C131" s="596"/>
      <c r="D131" s="597"/>
      <c r="E131" s="597"/>
      <c r="F131" s="597"/>
      <c r="G131" s="597"/>
      <c r="H131" s="597"/>
      <c r="I131" s="597"/>
      <c r="J131" s="597"/>
      <c r="K131" s="597"/>
      <c r="L131" s="597"/>
      <c r="M131" s="597"/>
      <c r="N131" s="597"/>
      <c r="O131" s="597"/>
      <c r="P131" s="597"/>
      <c r="Q131" s="597"/>
      <c r="R131" s="597"/>
      <c r="S131" s="597"/>
      <c r="T131" s="597"/>
      <c r="U131" s="597"/>
      <c r="V131" s="597"/>
      <c r="W131" s="597"/>
      <c r="X131" s="597"/>
      <c r="Y131" s="597"/>
      <c r="Z131" s="597"/>
      <c r="AA131" s="597"/>
      <c r="AB131" s="597"/>
      <c r="AC131" s="597"/>
      <c r="AD131" s="597"/>
      <c r="AE131" s="597"/>
      <c r="AF131" s="597"/>
      <c r="AG131" s="597"/>
      <c r="AH131" s="597"/>
      <c r="AI131" s="597"/>
      <c r="AJ131" s="597"/>
      <c r="AK131" s="134"/>
      <c r="AL131" s="135"/>
      <c r="AM131" s="72"/>
      <c r="AN131" s="26"/>
      <c r="AO131" s="136">
        <f t="shared" si="3"/>
        <v>46039</v>
      </c>
      <c r="AP131" s="137" t="str">
        <f t="shared" si="4"/>
        <v/>
      </c>
      <c r="AQ131" s="104"/>
      <c r="AR131" s="105"/>
      <c r="AS131" s="105"/>
      <c r="AT131" s="108"/>
      <c r="AU131" s="105"/>
      <c r="AV131" s="108"/>
      <c r="AW131" s="105"/>
      <c r="AX131" s="106"/>
      <c r="AY131" s="105"/>
      <c r="AZ131" s="105"/>
      <c r="BA131" s="113"/>
      <c r="BB131" s="140"/>
    </row>
    <row r="132" spans="1:54" s="7" customFormat="1" ht="14.15" customHeight="1" x14ac:dyDescent="0.35">
      <c r="A132" s="76">
        <v>46040</v>
      </c>
      <c r="B132" s="596"/>
      <c r="C132" s="596"/>
      <c r="D132" s="597"/>
      <c r="E132" s="597"/>
      <c r="F132" s="597"/>
      <c r="G132" s="597"/>
      <c r="H132" s="597"/>
      <c r="I132" s="597"/>
      <c r="J132" s="597"/>
      <c r="K132" s="597"/>
      <c r="L132" s="597"/>
      <c r="M132" s="597"/>
      <c r="N132" s="597"/>
      <c r="O132" s="597"/>
      <c r="P132" s="597"/>
      <c r="Q132" s="597"/>
      <c r="R132" s="597"/>
      <c r="S132" s="597"/>
      <c r="T132" s="597"/>
      <c r="U132" s="597"/>
      <c r="V132" s="597"/>
      <c r="W132" s="597"/>
      <c r="X132" s="597"/>
      <c r="Y132" s="597"/>
      <c r="Z132" s="597"/>
      <c r="AA132" s="597"/>
      <c r="AB132" s="597"/>
      <c r="AC132" s="597"/>
      <c r="AD132" s="597"/>
      <c r="AE132" s="597"/>
      <c r="AF132" s="597"/>
      <c r="AG132" s="597"/>
      <c r="AH132" s="597"/>
      <c r="AI132" s="597"/>
      <c r="AJ132" s="597"/>
      <c r="AK132" s="134"/>
      <c r="AL132" s="135"/>
      <c r="AM132" s="72"/>
      <c r="AN132" s="26"/>
      <c r="AO132" s="136">
        <f t="shared" si="3"/>
        <v>46040</v>
      </c>
      <c r="AP132" s="137" t="str">
        <f t="shared" si="4"/>
        <v/>
      </c>
      <c r="AQ132" s="104"/>
      <c r="AR132" s="105"/>
      <c r="AS132" s="105"/>
      <c r="AT132" s="108"/>
      <c r="AU132" s="105"/>
      <c r="AV132" s="117"/>
      <c r="AW132" s="105"/>
      <c r="AX132" s="107"/>
      <c r="AY132" s="105"/>
      <c r="AZ132" s="105"/>
      <c r="BA132" s="113"/>
      <c r="BB132" s="140"/>
    </row>
    <row r="133" spans="1:54" s="7" customFormat="1" ht="27" customHeight="1" x14ac:dyDescent="0.35">
      <c r="A133" s="171">
        <v>46041</v>
      </c>
      <c r="B133" s="598" t="s">
        <v>88</v>
      </c>
      <c r="C133" s="598"/>
      <c r="D133" s="599" t="s">
        <v>94</v>
      </c>
      <c r="E133" s="599"/>
      <c r="F133" s="599"/>
      <c r="G133" s="599"/>
      <c r="H133" s="599"/>
      <c r="I133" s="599"/>
      <c r="J133" s="599"/>
      <c r="K133" s="599"/>
      <c r="L133" s="599"/>
      <c r="M133" s="599"/>
      <c r="N133" s="599"/>
      <c r="O133" s="599"/>
      <c r="P133" s="599"/>
      <c r="Q133" s="599"/>
      <c r="R133" s="599"/>
      <c r="S133" s="599"/>
      <c r="T133" s="599"/>
      <c r="U133" s="599"/>
      <c r="V133" s="599"/>
      <c r="W133" s="599"/>
      <c r="X133" s="599"/>
      <c r="Y133" s="599"/>
      <c r="Z133" s="599"/>
      <c r="AA133" s="599"/>
      <c r="AB133" s="599"/>
      <c r="AC133" s="599"/>
      <c r="AD133" s="599"/>
      <c r="AE133" s="599"/>
      <c r="AF133" s="599"/>
      <c r="AG133" s="599"/>
      <c r="AH133" s="599"/>
      <c r="AI133" s="599"/>
      <c r="AJ133" s="599"/>
      <c r="AK133" s="172">
        <v>86.35</v>
      </c>
      <c r="AL133" s="173">
        <v>6</v>
      </c>
      <c r="AM133" s="174">
        <f t="shared" ref="AM133:AM138" si="5">IF(AL133="CO", "CO", IF(COUNTIF(AO:AO, A133)=0, 0, (8-SUMIF(AO:AO, A133, AL:AL)) / COUNTIF(AO:AO, A133)))</f>
        <v>2</v>
      </c>
      <c r="AN133" s="249" t="s">
        <v>95</v>
      </c>
      <c r="AO133" s="176">
        <f t="shared" si="3"/>
        <v>46041</v>
      </c>
      <c r="AP133" s="177" t="str">
        <f t="shared" si="4"/>
        <v>SA3.5.</v>
      </c>
      <c r="AQ133" s="178" t="s">
        <v>91</v>
      </c>
      <c r="AR133" s="179"/>
      <c r="AS133" s="179"/>
      <c r="AT133" s="103"/>
      <c r="AU133" s="179"/>
      <c r="AV133" s="103"/>
      <c r="AW133" s="179"/>
      <c r="AX133" s="102"/>
      <c r="AY133" s="179"/>
      <c r="AZ133" s="179"/>
      <c r="BA133" s="181"/>
      <c r="BB133" s="182"/>
    </row>
    <row r="134" spans="1:54" s="7" customFormat="1" ht="27" customHeight="1" x14ac:dyDescent="0.35">
      <c r="A134" s="171">
        <v>46042</v>
      </c>
      <c r="B134" s="598" t="s">
        <v>88</v>
      </c>
      <c r="C134" s="598"/>
      <c r="D134" s="599" t="s">
        <v>94</v>
      </c>
      <c r="E134" s="599"/>
      <c r="F134" s="599"/>
      <c r="G134" s="599"/>
      <c r="H134" s="599"/>
      <c r="I134" s="599"/>
      <c r="J134" s="599"/>
      <c r="K134" s="599"/>
      <c r="L134" s="599"/>
      <c r="M134" s="599"/>
      <c r="N134" s="599"/>
      <c r="O134" s="599"/>
      <c r="P134" s="599"/>
      <c r="Q134" s="599"/>
      <c r="R134" s="599"/>
      <c r="S134" s="599"/>
      <c r="T134" s="599"/>
      <c r="U134" s="599"/>
      <c r="V134" s="599"/>
      <c r="W134" s="599"/>
      <c r="X134" s="599"/>
      <c r="Y134" s="599"/>
      <c r="Z134" s="599"/>
      <c r="AA134" s="599"/>
      <c r="AB134" s="599"/>
      <c r="AC134" s="599"/>
      <c r="AD134" s="599"/>
      <c r="AE134" s="599"/>
      <c r="AF134" s="599"/>
      <c r="AG134" s="599"/>
      <c r="AH134" s="599"/>
      <c r="AI134" s="599"/>
      <c r="AJ134" s="599"/>
      <c r="AK134" s="172">
        <v>86.35</v>
      </c>
      <c r="AL134" s="173">
        <v>6</v>
      </c>
      <c r="AM134" s="174">
        <f t="shared" si="5"/>
        <v>2</v>
      </c>
      <c r="AN134" s="249" t="s">
        <v>95</v>
      </c>
      <c r="AO134" s="176">
        <f t="shared" si="3"/>
        <v>46042</v>
      </c>
      <c r="AP134" s="177" t="str">
        <f t="shared" si="4"/>
        <v>SA3.5.</v>
      </c>
      <c r="AQ134" s="178" t="s">
        <v>91</v>
      </c>
      <c r="AR134" s="179"/>
      <c r="AS134" s="179"/>
      <c r="AT134" s="180"/>
      <c r="AU134" s="179"/>
      <c r="AV134" s="250" t="s">
        <v>96</v>
      </c>
      <c r="AW134" s="179"/>
      <c r="AX134" s="102"/>
      <c r="AY134" s="179"/>
      <c r="AZ134" s="71"/>
      <c r="BA134" s="181"/>
      <c r="BB134" s="182"/>
    </row>
    <row r="135" spans="1:54" s="7" customFormat="1" ht="27" customHeight="1" x14ac:dyDescent="0.35">
      <c r="A135" s="171">
        <v>46043</v>
      </c>
      <c r="B135" s="598" t="s">
        <v>88</v>
      </c>
      <c r="C135" s="598"/>
      <c r="D135" s="599" t="s">
        <v>89</v>
      </c>
      <c r="E135" s="599"/>
      <c r="F135" s="599"/>
      <c r="G135" s="599"/>
      <c r="H135" s="599"/>
      <c r="I135" s="599"/>
      <c r="J135" s="599"/>
      <c r="K135" s="599"/>
      <c r="L135" s="599"/>
      <c r="M135" s="599"/>
      <c r="N135" s="599"/>
      <c r="O135" s="599"/>
      <c r="P135" s="599"/>
      <c r="Q135" s="599"/>
      <c r="R135" s="599"/>
      <c r="S135" s="599"/>
      <c r="T135" s="599"/>
      <c r="U135" s="599"/>
      <c r="V135" s="599"/>
      <c r="W135" s="599"/>
      <c r="X135" s="599"/>
      <c r="Y135" s="599"/>
      <c r="Z135" s="599"/>
      <c r="AA135" s="599"/>
      <c r="AB135" s="599"/>
      <c r="AC135" s="599"/>
      <c r="AD135" s="599"/>
      <c r="AE135" s="599"/>
      <c r="AF135" s="599"/>
      <c r="AG135" s="599"/>
      <c r="AH135" s="599"/>
      <c r="AI135" s="599"/>
      <c r="AJ135" s="599"/>
      <c r="AK135" s="172">
        <v>86.35</v>
      </c>
      <c r="AL135" s="173">
        <v>6</v>
      </c>
      <c r="AM135" s="174">
        <f t="shared" si="5"/>
        <v>0</v>
      </c>
      <c r="AN135" s="245" t="s">
        <v>90</v>
      </c>
      <c r="AO135" s="176">
        <f>A135</f>
        <v>46043</v>
      </c>
      <c r="AP135" s="177" t="str">
        <f t="shared" si="4"/>
        <v>SA3.4.</v>
      </c>
      <c r="AQ135" s="178" t="s">
        <v>91</v>
      </c>
      <c r="AR135" s="179"/>
      <c r="AS135" s="179"/>
      <c r="AT135" s="180"/>
      <c r="AU135" s="179"/>
      <c r="AV135" s="246" t="s">
        <v>97</v>
      </c>
      <c r="AW135" s="179"/>
      <c r="AX135" s="102"/>
      <c r="AY135" s="179"/>
      <c r="AZ135" s="71"/>
      <c r="BA135" s="181"/>
      <c r="BB135" s="182"/>
    </row>
    <row r="136" spans="1:54" s="7" customFormat="1" ht="27" customHeight="1" x14ac:dyDescent="0.35">
      <c r="A136" s="171">
        <v>46043</v>
      </c>
      <c r="B136" s="598" t="s">
        <v>88</v>
      </c>
      <c r="C136" s="598"/>
      <c r="D136" s="599" t="s">
        <v>89</v>
      </c>
      <c r="E136" s="599"/>
      <c r="F136" s="599"/>
      <c r="G136" s="599"/>
      <c r="H136" s="599"/>
      <c r="I136" s="599"/>
      <c r="J136" s="599"/>
      <c r="K136" s="599"/>
      <c r="L136" s="599"/>
      <c r="M136" s="599"/>
      <c r="N136" s="599"/>
      <c r="O136" s="599"/>
      <c r="P136" s="599"/>
      <c r="Q136" s="599"/>
      <c r="R136" s="599"/>
      <c r="S136" s="599"/>
      <c r="T136" s="599"/>
      <c r="U136" s="599"/>
      <c r="V136" s="599"/>
      <c r="W136" s="599"/>
      <c r="X136" s="599"/>
      <c r="Y136" s="599"/>
      <c r="Z136" s="599"/>
      <c r="AA136" s="599"/>
      <c r="AB136" s="599"/>
      <c r="AC136" s="599"/>
      <c r="AD136" s="599"/>
      <c r="AE136" s="599"/>
      <c r="AF136" s="599"/>
      <c r="AG136" s="599"/>
      <c r="AH136" s="599"/>
      <c r="AI136" s="599"/>
      <c r="AJ136" s="599"/>
      <c r="AK136" s="172">
        <v>86.35</v>
      </c>
      <c r="AL136" s="173">
        <v>2</v>
      </c>
      <c r="AM136" s="174">
        <f t="shared" si="5"/>
        <v>0</v>
      </c>
      <c r="AN136" s="189" t="s">
        <v>98</v>
      </c>
      <c r="AO136" s="176">
        <f t="shared" si="3"/>
        <v>46043</v>
      </c>
      <c r="AP136" s="177" t="str">
        <f t="shared" si="4"/>
        <v>SA3.4.</v>
      </c>
      <c r="AQ136" s="178" t="s">
        <v>99</v>
      </c>
      <c r="AR136" s="183" t="s">
        <v>100</v>
      </c>
      <c r="AS136" s="179"/>
      <c r="AT136" s="180"/>
      <c r="AU136" s="179"/>
      <c r="AV136" s="116" t="s">
        <v>101</v>
      </c>
      <c r="AW136" s="179"/>
      <c r="AX136" s="102"/>
      <c r="AY136" s="179"/>
      <c r="AZ136" s="71"/>
      <c r="BA136" s="181"/>
      <c r="BB136" s="182"/>
    </row>
    <row r="137" spans="1:54" s="7" customFormat="1" ht="27" customHeight="1" x14ac:dyDescent="0.35">
      <c r="A137" s="171">
        <v>46044</v>
      </c>
      <c r="B137" s="598" t="s">
        <v>88</v>
      </c>
      <c r="C137" s="598"/>
      <c r="D137" s="599" t="s">
        <v>89</v>
      </c>
      <c r="E137" s="599"/>
      <c r="F137" s="599"/>
      <c r="G137" s="599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  <c r="U137" s="599"/>
      <c r="V137" s="599"/>
      <c r="W137" s="599"/>
      <c r="X137" s="599"/>
      <c r="Y137" s="599"/>
      <c r="Z137" s="599"/>
      <c r="AA137" s="599"/>
      <c r="AB137" s="599"/>
      <c r="AC137" s="599"/>
      <c r="AD137" s="599"/>
      <c r="AE137" s="599"/>
      <c r="AF137" s="599"/>
      <c r="AG137" s="599"/>
      <c r="AH137" s="599"/>
      <c r="AI137" s="599"/>
      <c r="AJ137" s="599"/>
      <c r="AK137" s="172">
        <v>86.35</v>
      </c>
      <c r="AL137" s="173">
        <v>6</v>
      </c>
      <c r="AM137" s="174">
        <f t="shared" si="5"/>
        <v>2</v>
      </c>
      <c r="AN137" s="189" t="s">
        <v>102</v>
      </c>
      <c r="AO137" s="176">
        <f t="shared" si="3"/>
        <v>46044</v>
      </c>
      <c r="AP137" s="177" t="str">
        <f t="shared" si="4"/>
        <v>SA3.4.</v>
      </c>
      <c r="AQ137" s="178" t="s">
        <v>91</v>
      </c>
      <c r="AR137" s="183"/>
      <c r="AS137" s="179"/>
      <c r="AT137" s="180"/>
      <c r="AU137" s="179"/>
      <c r="AV137" s="116"/>
      <c r="AW137" s="179"/>
      <c r="AX137" s="102"/>
      <c r="AY137" s="179"/>
      <c r="AZ137" s="71"/>
      <c r="BA137" s="181"/>
      <c r="BB137" s="182"/>
    </row>
    <row r="138" spans="1:54" s="7" customFormat="1" ht="27" customHeight="1" x14ac:dyDescent="0.35">
      <c r="A138" s="171">
        <v>46045</v>
      </c>
      <c r="B138" s="598" t="s">
        <v>88</v>
      </c>
      <c r="C138" s="598"/>
      <c r="D138" s="599" t="s">
        <v>89</v>
      </c>
      <c r="E138" s="599"/>
      <c r="F138" s="599"/>
      <c r="G138" s="599"/>
      <c r="H138" s="599"/>
      <c r="I138" s="599"/>
      <c r="J138" s="599"/>
      <c r="K138" s="599"/>
      <c r="L138" s="599"/>
      <c r="M138" s="599"/>
      <c r="N138" s="599"/>
      <c r="O138" s="599"/>
      <c r="P138" s="599"/>
      <c r="Q138" s="599"/>
      <c r="R138" s="599"/>
      <c r="S138" s="599"/>
      <c r="T138" s="599"/>
      <c r="U138" s="599"/>
      <c r="V138" s="599"/>
      <c r="W138" s="599"/>
      <c r="X138" s="599"/>
      <c r="Y138" s="599"/>
      <c r="Z138" s="599"/>
      <c r="AA138" s="599"/>
      <c r="AB138" s="599"/>
      <c r="AC138" s="599"/>
      <c r="AD138" s="599"/>
      <c r="AE138" s="599"/>
      <c r="AF138" s="599"/>
      <c r="AG138" s="599"/>
      <c r="AH138" s="599"/>
      <c r="AI138" s="599"/>
      <c r="AJ138" s="599"/>
      <c r="AK138" s="172">
        <v>86.35</v>
      </c>
      <c r="AL138" s="173">
        <v>6</v>
      </c>
      <c r="AM138" s="187">
        <f t="shared" si="5"/>
        <v>2</v>
      </c>
      <c r="AN138" s="189" t="s">
        <v>102</v>
      </c>
      <c r="AO138" s="176">
        <f t="shared" si="3"/>
        <v>46045</v>
      </c>
      <c r="AP138" s="177" t="str">
        <f t="shared" si="4"/>
        <v>SA3.4.</v>
      </c>
      <c r="AQ138" s="178" t="s">
        <v>91</v>
      </c>
      <c r="AR138" s="179"/>
      <c r="AS138" s="179"/>
      <c r="AT138" s="180"/>
      <c r="AU138" s="179"/>
      <c r="AV138" s="186"/>
      <c r="AW138" s="179"/>
      <c r="AX138" s="102"/>
      <c r="AY138" s="179"/>
      <c r="AZ138" s="179"/>
      <c r="BA138" s="181"/>
      <c r="BB138" s="182"/>
    </row>
    <row r="139" spans="1:54" s="7" customFormat="1" ht="14.15" customHeight="1" x14ac:dyDescent="0.35">
      <c r="A139" s="76">
        <v>46046</v>
      </c>
      <c r="B139" s="596"/>
      <c r="C139" s="596"/>
      <c r="D139" s="597"/>
      <c r="E139" s="597"/>
      <c r="F139" s="597"/>
      <c r="G139" s="597"/>
      <c r="H139" s="597"/>
      <c r="I139" s="597"/>
      <c r="J139" s="597"/>
      <c r="K139" s="597"/>
      <c r="L139" s="597"/>
      <c r="M139" s="597"/>
      <c r="N139" s="597"/>
      <c r="O139" s="597"/>
      <c r="P139" s="597"/>
      <c r="Q139" s="597"/>
      <c r="R139" s="597"/>
      <c r="S139" s="597"/>
      <c r="T139" s="597"/>
      <c r="U139" s="597"/>
      <c r="V139" s="597"/>
      <c r="W139" s="597"/>
      <c r="X139" s="597"/>
      <c r="Y139" s="597"/>
      <c r="Z139" s="597"/>
      <c r="AA139" s="597"/>
      <c r="AB139" s="597"/>
      <c r="AC139" s="597"/>
      <c r="AD139" s="597"/>
      <c r="AE139" s="597"/>
      <c r="AF139" s="597"/>
      <c r="AG139" s="597"/>
      <c r="AH139" s="597"/>
      <c r="AI139" s="597"/>
      <c r="AJ139" s="597"/>
      <c r="AK139" s="134"/>
      <c r="AL139" s="135"/>
      <c r="AM139" s="67"/>
      <c r="AN139" s="110"/>
      <c r="AO139" s="136">
        <f t="shared" si="3"/>
        <v>46046</v>
      </c>
      <c r="AP139" s="137" t="str">
        <f t="shared" si="4"/>
        <v/>
      </c>
      <c r="AQ139" s="104"/>
      <c r="AR139" s="105"/>
      <c r="AS139" s="105"/>
      <c r="AT139" s="108"/>
      <c r="AU139" s="105"/>
      <c r="AV139" s="108"/>
      <c r="AW139" s="105"/>
      <c r="AX139" s="107"/>
      <c r="AY139" s="105"/>
      <c r="AZ139" s="105"/>
      <c r="BA139" s="113"/>
      <c r="BB139" s="140"/>
    </row>
    <row r="140" spans="1:54" s="7" customFormat="1" ht="14.15" customHeight="1" x14ac:dyDescent="0.35">
      <c r="A140" s="76">
        <v>46047</v>
      </c>
      <c r="B140" s="596"/>
      <c r="C140" s="596"/>
      <c r="D140" s="597"/>
      <c r="E140" s="597"/>
      <c r="F140" s="597"/>
      <c r="G140" s="597"/>
      <c r="H140" s="597"/>
      <c r="I140" s="597"/>
      <c r="J140" s="597"/>
      <c r="K140" s="597"/>
      <c r="L140" s="597"/>
      <c r="M140" s="597"/>
      <c r="N140" s="597"/>
      <c r="O140" s="597"/>
      <c r="P140" s="597"/>
      <c r="Q140" s="597"/>
      <c r="R140" s="597"/>
      <c r="S140" s="597"/>
      <c r="T140" s="597"/>
      <c r="U140" s="597"/>
      <c r="V140" s="597"/>
      <c r="W140" s="597"/>
      <c r="X140" s="597"/>
      <c r="Y140" s="597"/>
      <c r="Z140" s="597"/>
      <c r="AA140" s="597"/>
      <c r="AB140" s="597"/>
      <c r="AC140" s="597"/>
      <c r="AD140" s="597"/>
      <c r="AE140" s="597"/>
      <c r="AF140" s="597"/>
      <c r="AG140" s="597"/>
      <c r="AH140" s="597"/>
      <c r="AI140" s="597"/>
      <c r="AJ140" s="597"/>
      <c r="AK140" s="134"/>
      <c r="AL140" s="135"/>
      <c r="AM140" s="67"/>
      <c r="AN140" s="198"/>
      <c r="AO140" s="136">
        <f t="shared" si="3"/>
        <v>46047</v>
      </c>
      <c r="AP140" s="137" t="str">
        <f t="shared" si="4"/>
        <v/>
      </c>
      <c r="AQ140" s="104"/>
      <c r="AR140" s="105"/>
      <c r="AS140" s="105"/>
      <c r="AT140" s="139"/>
      <c r="AU140" s="105"/>
      <c r="AV140" s="199"/>
      <c r="AW140" s="105"/>
      <c r="AX140" s="107"/>
      <c r="AY140" s="105"/>
      <c r="AZ140" s="105"/>
      <c r="BA140" s="113"/>
      <c r="BB140" s="140"/>
    </row>
    <row r="141" spans="1:54" s="7" customFormat="1" ht="27" customHeight="1" x14ac:dyDescent="0.35">
      <c r="A141" s="171">
        <v>46048</v>
      </c>
      <c r="B141" s="598" t="s">
        <v>88</v>
      </c>
      <c r="C141" s="598"/>
      <c r="D141" s="599" t="s">
        <v>89</v>
      </c>
      <c r="E141" s="599"/>
      <c r="F141" s="599"/>
      <c r="G141" s="599"/>
      <c r="H141" s="599"/>
      <c r="I141" s="599"/>
      <c r="J141" s="599"/>
      <c r="K141" s="599"/>
      <c r="L141" s="599"/>
      <c r="M141" s="599"/>
      <c r="N141" s="599"/>
      <c r="O141" s="599"/>
      <c r="P141" s="599"/>
      <c r="Q141" s="599"/>
      <c r="R141" s="599"/>
      <c r="S141" s="599"/>
      <c r="T141" s="599"/>
      <c r="U141" s="599"/>
      <c r="V141" s="599"/>
      <c r="W141" s="599"/>
      <c r="X141" s="599"/>
      <c r="Y141" s="599"/>
      <c r="Z141" s="599"/>
      <c r="AA141" s="599"/>
      <c r="AB141" s="599"/>
      <c r="AC141" s="599"/>
      <c r="AD141" s="599"/>
      <c r="AE141" s="599"/>
      <c r="AF141" s="599"/>
      <c r="AG141" s="599"/>
      <c r="AH141" s="599"/>
      <c r="AI141" s="599"/>
      <c r="AJ141" s="599"/>
      <c r="AK141" s="172">
        <v>86.35</v>
      </c>
      <c r="AL141" s="173">
        <v>6</v>
      </c>
      <c r="AM141" s="187">
        <f>IF(AL141="CO", "CO", IF(COUNTIF(AO:AO, A141)=0, 0, (8-SUMIF(AO:AO, A141, AL:AL)) / COUNTIF(AO:AO, A141)))</f>
        <v>2</v>
      </c>
      <c r="AN141" s="244" t="s">
        <v>90</v>
      </c>
      <c r="AO141" s="176">
        <f t="shared" si="3"/>
        <v>46048</v>
      </c>
      <c r="AP141" s="177" t="str">
        <f t="shared" si="4"/>
        <v>SA3.4.</v>
      </c>
      <c r="AQ141" s="178" t="s">
        <v>91</v>
      </c>
      <c r="AR141" s="179"/>
      <c r="AS141" s="179"/>
      <c r="AT141" s="103"/>
      <c r="AU141" s="179"/>
      <c r="AV141" s="246" t="s">
        <v>103</v>
      </c>
      <c r="AW141" s="179"/>
      <c r="AX141" s="102"/>
      <c r="AY141" s="179"/>
      <c r="AZ141" s="179"/>
      <c r="BA141" s="181"/>
      <c r="BB141" s="182"/>
    </row>
    <row r="142" spans="1:54" s="7" customFormat="1" ht="27" customHeight="1" x14ac:dyDescent="0.35">
      <c r="A142" s="171">
        <v>46049</v>
      </c>
      <c r="B142" s="598" t="s">
        <v>88</v>
      </c>
      <c r="C142" s="598"/>
      <c r="D142" s="599" t="s">
        <v>89</v>
      </c>
      <c r="E142" s="599"/>
      <c r="F142" s="599"/>
      <c r="G142" s="599"/>
      <c r="H142" s="599"/>
      <c r="I142" s="599"/>
      <c r="J142" s="599"/>
      <c r="K142" s="599"/>
      <c r="L142" s="599"/>
      <c r="M142" s="599"/>
      <c r="N142" s="599"/>
      <c r="O142" s="599"/>
      <c r="P142" s="599"/>
      <c r="Q142" s="599"/>
      <c r="R142" s="599"/>
      <c r="S142" s="599"/>
      <c r="T142" s="599"/>
      <c r="U142" s="599"/>
      <c r="V142" s="599"/>
      <c r="W142" s="599"/>
      <c r="X142" s="599"/>
      <c r="Y142" s="599"/>
      <c r="Z142" s="599"/>
      <c r="AA142" s="599"/>
      <c r="AB142" s="599"/>
      <c r="AC142" s="599"/>
      <c r="AD142" s="599"/>
      <c r="AE142" s="599"/>
      <c r="AF142" s="599"/>
      <c r="AG142" s="599"/>
      <c r="AH142" s="599"/>
      <c r="AI142" s="599"/>
      <c r="AJ142" s="599"/>
      <c r="AK142" s="172">
        <v>86.35</v>
      </c>
      <c r="AL142" s="173">
        <v>6</v>
      </c>
      <c r="AM142" s="187">
        <f>IF(AL142="CO", "CO", IF(COUNTIF(AO:AO, A142)=0, 0, (8-SUMIF(AO:AO, A142, AL:AL)) / COUNTIF(AO:AO, A142)))</f>
        <v>2</v>
      </c>
      <c r="AN142" s="175" t="s">
        <v>102</v>
      </c>
      <c r="AO142" s="176">
        <f t="shared" si="3"/>
        <v>46049</v>
      </c>
      <c r="AP142" s="177" t="str">
        <f t="shared" si="4"/>
        <v>SA3.4.</v>
      </c>
      <c r="AQ142" s="178" t="s">
        <v>91</v>
      </c>
      <c r="AR142" s="179"/>
      <c r="AS142" s="179"/>
      <c r="AT142" s="184"/>
      <c r="AU142" s="179"/>
      <c r="AV142" s="184"/>
      <c r="AW142" s="179"/>
      <c r="AX142" s="179"/>
      <c r="AY142" s="179"/>
      <c r="AZ142" s="179"/>
      <c r="BA142" s="181"/>
      <c r="BB142" s="182"/>
    </row>
    <row r="143" spans="1:54" s="7" customFormat="1" ht="27" customHeight="1" x14ac:dyDescent="0.35">
      <c r="A143" s="171">
        <v>46050</v>
      </c>
      <c r="B143" s="598" t="s">
        <v>88</v>
      </c>
      <c r="C143" s="598"/>
      <c r="D143" s="599" t="s">
        <v>89</v>
      </c>
      <c r="E143" s="599"/>
      <c r="F143" s="599"/>
      <c r="G143" s="599"/>
      <c r="H143" s="599"/>
      <c r="I143" s="599"/>
      <c r="J143" s="599"/>
      <c r="K143" s="599"/>
      <c r="L143" s="599"/>
      <c r="M143" s="599"/>
      <c r="N143" s="599"/>
      <c r="O143" s="599"/>
      <c r="P143" s="599"/>
      <c r="Q143" s="599"/>
      <c r="R143" s="599"/>
      <c r="S143" s="599"/>
      <c r="T143" s="599"/>
      <c r="U143" s="599"/>
      <c r="V143" s="599"/>
      <c r="W143" s="599"/>
      <c r="X143" s="599"/>
      <c r="Y143" s="599"/>
      <c r="Z143" s="599"/>
      <c r="AA143" s="599"/>
      <c r="AB143" s="599"/>
      <c r="AC143" s="599"/>
      <c r="AD143" s="599"/>
      <c r="AE143" s="599"/>
      <c r="AF143" s="599"/>
      <c r="AG143" s="599"/>
      <c r="AH143" s="599"/>
      <c r="AI143" s="599"/>
      <c r="AJ143" s="599"/>
      <c r="AK143" s="172">
        <v>86.35</v>
      </c>
      <c r="AL143" s="173">
        <v>6</v>
      </c>
      <c r="AM143" s="187">
        <f>IF(AL143="CO", "CO", IF(COUNTIF(AO:AO, A143)=0, 0, (8-SUMIF(AO:AO, A143, AL:AL)) / COUNTIF(AO:AO, A143)))</f>
        <v>2</v>
      </c>
      <c r="AN143" s="190" t="s">
        <v>102</v>
      </c>
      <c r="AO143" s="176">
        <f t="shared" si="3"/>
        <v>46050</v>
      </c>
      <c r="AP143" s="177" t="str">
        <f t="shared" si="4"/>
        <v>SA3.4.</v>
      </c>
      <c r="AQ143" s="178" t="s">
        <v>91</v>
      </c>
      <c r="AR143" s="179"/>
      <c r="AS143" s="179"/>
      <c r="AT143" s="103"/>
      <c r="AU143" s="179"/>
      <c r="AV143" s="248" t="s">
        <v>104</v>
      </c>
      <c r="AW143" s="179"/>
      <c r="AX143" s="179"/>
      <c r="AY143" s="179"/>
      <c r="AZ143" s="179"/>
      <c r="BA143" s="181"/>
      <c r="BB143" s="182"/>
    </row>
    <row r="144" spans="1:54" s="7" customFormat="1" ht="27" customHeight="1" x14ac:dyDescent="0.35">
      <c r="A144" s="171">
        <v>46051</v>
      </c>
      <c r="B144" s="598" t="s">
        <v>88</v>
      </c>
      <c r="C144" s="598"/>
      <c r="D144" s="599" t="s">
        <v>94</v>
      </c>
      <c r="E144" s="599"/>
      <c r="F144" s="599"/>
      <c r="G144" s="599"/>
      <c r="H144" s="599"/>
      <c r="I144" s="599"/>
      <c r="J144" s="599"/>
      <c r="K144" s="599"/>
      <c r="L144" s="599"/>
      <c r="M144" s="599"/>
      <c r="N144" s="599"/>
      <c r="O144" s="599"/>
      <c r="P144" s="599"/>
      <c r="Q144" s="599"/>
      <c r="R144" s="599"/>
      <c r="S144" s="599"/>
      <c r="T144" s="599"/>
      <c r="U144" s="599"/>
      <c r="V144" s="599"/>
      <c r="W144" s="599"/>
      <c r="X144" s="599"/>
      <c r="Y144" s="599"/>
      <c r="Z144" s="599"/>
      <c r="AA144" s="599"/>
      <c r="AB144" s="599"/>
      <c r="AC144" s="599"/>
      <c r="AD144" s="599"/>
      <c r="AE144" s="599"/>
      <c r="AF144" s="599"/>
      <c r="AG144" s="599"/>
      <c r="AH144" s="599"/>
      <c r="AI144" s="599"/>
      <c r="AJ144" s="599"/>
      <c r="AK144" s="172">
        <v>86.35</v>
      </c>
      <c r="AL144" s="173">
        <v>8</v>
      </c>
      <c r="AM144" s="174">
        <f>IF(AL144="CO", "CO", IF(COUNTIF(AO:AO, A144)=0, 0, (8-SUMIF(AO:AO, A144, AL:AL)) / COUNTIF(AO:AO, A144)))</f>
        <v>0</v>
      </c>
      <c r="AN144" s="175" t="s">
        <v>105</v>
      </c>
      <c r="AO144" s="176">
        <f t="shared" si="3"/>
        <v>46051</v>
      </c>
      <c r="AP144" s="177" t="str">
        <f t="shared" si="4"/>
        <v>SA3.5.</v>
      </c>
      <c r="AQ144" s="178" t="s">
        <v>91</v>
      </c>
      <c r="AR144" s="183"/>
      <c r="AS144" s="179"/>
      <c r="AT144" s="180"/>
      <c r="AU144" s="179"/>
      <c r="AV144" s="241" t="s">
        <v>106</v>
      </c>
      <c r="AW144" s="179"/>
      <c r="AX144" s="179"/>
      <c r="AY144" s="179"/>
      <c r="AZ144" s="179"/>
      <c r="BA144" s="242" t="s">
        <v>107</v>
      </c>
      <c r="BB144" s="243" t="s">
        <v>108</v>
      </c>
    </row>
    <row r="145" spans="1:54" s="7" customFormat="1" ht="27" customHeight="1" x14ac:dyDescent="0.35">
      <c r="A145" s="171">
        <v>46052</v>
      </c>
      <c r="B145" s="598" t="s">
        <v>88</v>
      </c>
      <c r="C145" s="598"/>
      <c r="D145" s="599" t="s">
        <v>89</v>
      </c>
      <c r="E145" s="599"/>
      <c r="F145" s="599"/>
      <c r="G145" s="599"/>
      <c r="H145" s="599"/>
      <c r="I145" s="599"/>
      <c r="J145" s="599"/>
      <c r="K145" s="599"/>
      <c r="L145" s="599"/>
      <c r="M145" s="599"/>
      <c r="N145" s="599"/>
      <c r="O145" s="599"/>
      <c r="P145" s="599"/>
      <c r="Q145" s="599"/>
      <c r="R145" s="599"/>
      <c r="S145" s="599"/>
      <c r="T145" s="599"/>
      <c r="U145" s="599"/>
      <c r="V145" s="599"/>
      <c r="W145" s="599"/>
      <c r="X145" s="599"/>
      <c r="Y145" s="599"/>
      <c r="Z145" s="599"/>
      <c r="AA145" s="599"/>
      <c r="AB145" s="599"/>
      <c r="AC145" s="599"/>
      <c r="AD145" s="599"/>
      <c r="AE145" s="599"/>
      <c r="AF145" s="599"/>
      <c r="AG145" s="599"/>
      <c r="AH145" s="599"/>
      <c r="AI145" s="599"/>
      <c r="AJ145" s="599"/>
      <c r="AK145" s="172">
        <v>86.35</v>
      </c>
      <c r="AL145" s="173">
        <v>2</v>
      </c>
      <c r="AM145" s="174">
        <f>IF(AL145="CO", "CO", IF(COUNTIF(AO:AO, A145)=0, 0, (8-SUMIF(AO:AO, A145, AL:AL)) / COUNTIF(AO:AO, A145)))</f>
        <v>6</v>
      </c>
      <c r="AN145" s="175" t="s">
        <v>109</v>
      </c>
      <c r="AO145" s="176">
        <f t="shared" si="3"/>
        <v>46052</v>
      </c>
      <c r="AP145" s="177" t="str">
        <f t="shared" si="4"/>
        <v>SA3.4.</v>
      </c>
      <c r="AQ145" s="178" t="s">
        <v>91</v>
      </c>
      <c r="AR145" s="183"/>
      <c r="AS145" s="179"/>
      <c r="AT145" s="180"/>
      <c r="AU145" s="179"/>
      <c r="AV145" s="180"/>
      <c r="AW145" s="179"/>
      <c r="AX145" s="179"/>
      <c r="AY145" s="179"/>
      <c r="AZ145" s="179"/>
      <c r="BA145" s="181"/>
      <c r="BB145" s="182"/>
    </row>
    <row r="146" spans="1:54" s="7" customFormat="1" ht="14.15" customHeight="1" thickBot="1" x14ac:dyDescent="0.4">
      <c r="A146" s="200">
        <v>46053</v>
      </c>
      <c r="B146" s="624"/>
      <c r="C146" s="624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25"/>
      <c r="AB146" s="625"/>
      <c r="AC146" s="625"/>
      <c r="AD146" s="625"/>
      <c r="AE146" s="625"/>
      <c r="AF146" s="625"/>
      <c r="AG146" s="625"/>
      <c r="AH146" s="625"/>
      <c r="AI146" s="625"/>
      <c r="AJ146" s="625"/>
      <c r="AK146" s="201"/>
      <c r="AL146" s="202"/>
      <c r="AM146" s="203"/>
      <c r="AN146" s="204"/>
      <c r="AO146" s="205">
        <f t="shared" si="3"/>
        <v>46053</v>
      </c>
      <c r="AP146" s="206" t="str">
        <f t="shared" si="4"/>
        <v/>
      </c>
      <c r="AQ146" s="207"/>
      <c r="AR146" s="208"/>
      <c r="AS146" s="208"/>
      <c r="AT146" s="209"/>
      <c r="AU146" s="208"/>
      <c r="AV146" s="209"/>
      <c r="AW146" s="208"/>
      <c r="AX146" s="208"/>
      <c r="AY146" s="208"/>
      <c r="AZ146" s="208"/>
      <c r="BA146" s="210"/>
      <c r="BB146" s="211"/>
    </row>
    <row r="147" spans="1:54" s="7" customFormat="1" ht="15" customHeight="1" thickBot="1" x14ac:dyDescent="0.4">
      <c r="A147" s="626" t="s">
        <v>110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27"/>
      <c r="AB147" s="627"/>
      <c r="AC147" s="627"/>
      <c r="AD147" s="627"/>
      <c r="AE147" s="627"/>
      <c r="AF147" s="627"/>
      <c r="AG147" s="627"/>
      <c r="AH147" s="627"/>
      <c r="AI147" s="627"/>
      <c r="AJ147" s="628"/>
      <c r="AK147" s="31"/>
      <c r="AL147" s="118">
        <f>SUM(AL115:AL146)+COUNTIF(AL115:AL146,"CO")*6</f>
        <v>108</v>
      </c>
      <c r="AM147" s="101">
        <f>SUM(AM115:AM146)+COUNTIF(AM115:AM146,"CO")*2</f>
        <v>36</v>
      </c>
      <c r="AO147" s="8"/>
      <c r="AP147" s="8"/>
      <c r="AV147" s="70"/>
    </row>
    <row r="148" spans="1:54" s="7" customFormat="1" x14ac:dyDescent="0.35">
      <c r="A148" s="629" t="s">
        <v>111</v>
      </c>
      <c r="B148" s="630"/>
      <c r="C148" s="630"/>
      <c r="D148" s="630"/>
      <c r="E148" s="630"/>
      <c r="F148" s="630"/>
      <c r="G148" s="630"/>
      <c r="H148" s="630"/>
      <c r="I148" s="630"/>
      <c r="J148" s="630"/>
      <c r="K148" s="630"/>
      <c r="L148" s="630"/>
      <c r="M148" s="630"/>
      <c r="N148" s="630"/>
      <c r="O148" s="630"/>
      <c r="P148" s="630"/>
      <c r="Q148" s="630"/>
      <c r="R148" s="630"/>
      <c r="S148" s="630"/>
      <c r="T148" s="630"/>
      <c r="U148" s="630"/>
      <c r="V148" s="630"/>
      <c r="W148" s="630"/>
      <c r="X148" s="630"/>
      <c r="Y148" s="630"/>
      <c r="Z148" s="630"/>
      <c r="AA148" s="630"/>
      <c r="AB148" s="630"/>
      <c r="AC148" s="630"/>
      <c r="AD148" s="630"/>
      <c r="AE148" s="630"/>
      <c r="AF148" s="630"/>
      <c r="AG148" s="630"/>
      <c r="AH148" s="630"/>
      <c r="AI148" s="630"/>
      <c r="AJ148" s="630"/>
      <c r="AK148" s="630"/>
      <c r="AL148" s="630"/>
      <c r="AM148" s="631"/>
      <c r="AO148" s="8"/>
      <c r="AP148" s="8"/>
      <c r="AV148" s="70"/>
    </row>
    <row r="149" spans="1:54" s="7" customFormat="1" ht="15" customHeight="1" thickBot="1" x14ac:dyDescent="0.4">
      <c r="A149" s="632"/>
      <c r="B149" s="633"/>
      <c r="C149" s="633"/>
      <c r="D149" s="633"/>
      <c r="E149" s="633"/>
      <c r="F149" s="633"/>
      <c r="G149" s="633"/>
      <c r="H149" s="633"/>
      <c r="I149" s="633"/>
      <c r="J149" s="633"/>
      <c r="K149" s="633"/>
      <c r="L149" s="633"/>
      <c r="M149" s="633"/>
      <c r="N149" s="633"/>
      <c r="O149" s="633"/>
      <c r="P149" s="633"/>
      <c r="Q149" s="633"/>
      <c r="R149" s="633"/>
      <c r="S149" s="633"/>
      <c r="T149" s="633"/>
      <c r="U149" s="633"/>
      <c r="V149" s="633"/>
      <c r="W149" s="633"/>
      <c r="X149" s="633"/>
      <c r="Y149" s="633"/>
      <c r="Z149" s="633"/>
      <c r="AA149" s="633"/>
      <c r="AB149" s="633"/>
      <c r="AC149" s="633"/>
      <c r="AD149" s="633"/>
      <c r="AE149" s="633"/>
      <c r="AF149" s="633"/>
      <c r="AG149" s="633"/>
      <c r="AH149" s="633"/>
      <c r="AI149" s="633"/>
      <c r="AJ149" s="633"/>
      <c r="AK149" s="633"/>
      <c r="AL149" s="633"/>
      <c r="AM149" s="634"/>
      <c r="AO149" s="8"/>
      <c r="AP149" s="8"/>
      <c r="AV149" s="70"/>
    </row>
    <row r="150" spans="1:54" s="7" customFormat="1" ht="27" customHeight="1" x14ac:dyDescent="0.35">
      <c r="A150" s="610" t="s">
        <v>112</v>
      </c>
      <c r="B150" s="611"/>
      <c r="C150" s="612"/>
      <c r="D150" s="613" t="s">
        <v>58</v>
      </c>
      <c r="E150" s="614"/>
      <c r="F150" s="614"/>
      <c r="G150" s="614"/>
      <c r="H150" s="614"/>
      <c r="I150" s="614"/>
      <c r="J150" s="614"/>
      <c r="K150" s="614"/>
      <c r="L150" s="614"/>
      <c r="M150" s="614"/>
      <c r="N150" s="614"/>
      <c r="O150" s="614"/>
      <c r="P150" s="614"/>
      <c r="Q150" s="614"/>
      <c r="R150" s="614"/>
      <c r="S150" s="614"/>
      <c r="T150" s="614"/>
      <c r="U150" s="614"/>
      <c r="V150" s="614"/>
      <c r="W150" s="614"/>
      <c r="X150" s="614"/>
      <c r="Y150" s="614"/>
      <c r="Z150" s="614"/>
      <c r="AA150" s="614"/>
      <c r="AB150" s="614"/>
      <c r="AC150" s="614"/>
      <c r="AD150" s="614"/>
      <c r="AE150" s="614"/>
      <c r="AF150" s="614"/>
      <c r="AG150" s="614"/>
      <c r="AH150" s="614"/>
      <c r="AI150" s="614"/>
      <c r="AJ150" s="614"/>
      <c r="AK150" s="614"/>
      <c r="AL150" s="614"/>
      <c r="AM150" s="615"/>
      <c r="AO150" s="8"/>
      <c r="AP150" s="8"/>
      <c r="AV150" s="70"/>
    </row>
    <row r="151" spans="1:54" s="7" customFormat="1" ht="27" customHeight="1" x14ac:dyDescent="0.35">
      <c r="A151" s="616" t="s">
        <v>113</v>
      </c>
      <c r="B151" s="617"/>
      <c r="C151" s="618"/>
      <c r="D151" s="619"/>
      <c r="E151" s="620"/>
      <c r="F151" s="620"/>
      <c r="G151" s="620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20"/>
      <c r="AB151" s="620"/>
      <c r="AC151" s="620"/>
      <c r="AD151" s="620"/>
      <c r="AE151" s="620"/>
      <c r="AF151" s="620"/>
      <c r="AG151" s="620"/>
      <c r="AH151" s="620"/>
      <c r="AI151" s="620"/>
      <c r="AJ151" s="620"/>
      <c r="AK151" s="620"/>
      <c r="AL151" s="620"/>
      <c r="AM151" s="621"/>
      <c r="AO151" s="8"/>
      <c r="AP151" s="8"/>
      <c r="AV151" s="70"/>
    </row>
    <row r="152" spans="1:54" s="7" customFormat="1" ht="27" customHeight="1" x14ac:dyDescent="0.35">
      <c r="A152" s="616" t="s">
        <v>114</v>
      </c>
      <c r="B152" s="617"/>
      <c r="C152" s="618"/>
      <c r="D152" s="622">
        <v>46052</v>
      </c>
      <c r="E152" s="460"/>
      <c r="F152" s="460"/>
      <c r="G152" s="460"/>
      <c r="H152" s="460"/>
      <c r="I152" s="460"/>
      <c r="J152" s="460"/>
      <c r="K152" s="460"/>
      <c r="L152" s="460"/>
      <c r="M152" s="460"/>
      <c r="N152" s="460"/>
      <c r="O152" s="460"/>
      <c r="P152" s="460"/>
      <c r="Q152" s="460"/>
      <c r="R152" s="460"/>
      <c r="S152" s="460"/>
      <c r="T152" s="460"/>
      <c r="U152" s="460"/>
      <c r="V152" s="460"/>
      <c r="W152" s="460"/>
      <c r="X152" s="460"/>
      <c r="Y152" s="460"/>
      <c r="Z152" s="460"/>
      <c r="AA152" s="460"/>
      <c r="AB152" s="460"/>
      <c r="AC152" s="460"/>
      <c r="AD152" s="460"/>
      <c r="AE152" s="460"/>
      <c r="AF152" s="460"/>
      <c r="AG152" s="460"/>
      <c r="AH152" s="460"/>
      <c r="AI152" s="460"/>
      <c r="AJ152" s="460"/>
      <c r="AK152" s="460"/>
      <c r="AL152" s="460"/>
      <c r="AM152" s="623"/>
      <c r="AO152" s="8"/>
      <c r="AP152" s="8"/>
      <c r="AV152" s="70"/>
    </row>
    <row r="153" spans="1:54" s="7" customFormat="1" x14ac:dyDescent="0.35">
      <c r="A153" s="616"/>
      <c r="B153" s="617"/>
      <c r="C153" s="618"/>
      <c r="D153" s="641"/>
      <c r="E153" s="642"/>
      <c r="F153" s="642"/>
      <c r="G153" s="642"/>
      <c r="H153" s="642"/>
      <c r="I153" s="642"/>
      <c r="J153" s="642"/>
      <c r="K153" s="642"/>
      <c r="L153" s="642"/>
      <c r="M153" s="642"/>
      <c r="N153" s="642"/>
      <c r="O153" s="642"/>
      <c r="P153" s="642"/>
      <c r="Q153" s="642"/>
      <c r="R153" s="642"/>
      <c r="S153" s="642"/>
      <c r="T153" s="642"/>
      <c r="U153" s="642"/>
      <c r="V153" s="642"/>
      <c r="W153" s="642"/>
      <c r="X153" s="642"/>
      <c r="Y153" s="642"/>
      <c r="Z153" s="642"/>
      <c r="AA153" s="642"/>
      <c r="AB153" s="642"/>
      <c r="AC153" s="642"/>
      <c r="AD153" s="642"/>
      <c r="AE153" s="642"/>
      <c r="AF153" s="642"/>
      <c r="AG153" s="642"/>
      <c r="AH153" s="642"/>
      <c r="AI153" s="642"/>
      <c r="AJ153" s="642"/>
      <c r="AK153" s="642"/>
      <c r="AL153" s="642"/>
      <c r="AM153" s="643"/>
      <c r="AO153" s="8"/>
      <c r="AP153" s="8"/>
      <c r="AV153" s="70"/>
    </row>
    <row r="154" spans="1:54" s="7" customFormat="1" ht="27" customHeight="1" x14ac:dyDescent="0.35">
      <c r="A154" s="616" t="s">
        <v>115</v>
      </c>
      <c r="B154" s="617"/>
      <c r="C154" s="618"/>
      <c r="D154" s="644" t="s">
        <v>116</v>
      </c>
      <c r="E154" s="645"/>
      <c r="F154" s="645"/>
      <c r="G154" s="645"/>
      <c r="H154" s="645"/>
      <c r="I154" s="645"/>
      <c r="J154" s="645"/>
      <c r="K154" s="645"/>
      <c r="L154" s="645"/>
      <c r="M154" s="645"/>
      <c r="N154" s="645"/>
      <c r="O154" s="645"/>
      <c r="P154" s="645"/>
      <c r="Q154" s="645"/>
      <c r="R154" s="645"/>
      <c r="S154" s="645"/>
      <c r="T154" s="645"/>
      <c r="U154" s="645"/>
      <c r="V154" s="645"/>
      <c r="W154" s="645"/>
      <c r="X154" s="645"/>
      <c r="Y154" s="645"/>
      <c r="Z154" s="645"/>
      <c r="AA154" s="645"/>
      <c r="AB154" s="645"/>
      <c r="AC154" s="645"/>
      <c r="AD154" s="645"/>
      <c r="AE154" s="645"/>
      <c r="AF154" s="645"/>
      <c r="AG154" s="645"/>
      <c r="AH154" s="645"/>
      <c r="AI154" s="645"/>
      <c r="AJ154" s="645"/>
      <c r="AK154" s="645"/>
      <c r="AL154" s="645"/>
      <c r="AM154" s="646"/>
      <c r="AO154" s="8"/>
      <c r="AP154" s="8"/>
      <c r="AV154" s="70"/>
    </row>
    <row r="155" spans="1:54" s="7" customFormat="1" ht="27" customHeight="1" x14ac:dyDescent="0.35">
      <c r="A155" s="616" t="s">
        <v>113</v>
      </c>
      <c r="B155" s="617"/>
      <c r="C155" s="618"/>
      <c r="D155" s="619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620"/>
      <c r="AB155" s="620"/>
      <c r="AC155" s="620"/>
      <c r="AD155" s="620"/>
      <c r="AE155" s="620"/>
      <c r="AF155" s="620"/>
      <c r="AG155" s="620"/>
      <c r="AH155" s="620"/>
      <c r="AI155" s="620"/>
      <c r="AJ155" s="620"/>
      <c r="AK155" s="620"/>
      <c r="AL155" s="620"/>
      <c r="AM155" s="621"/>
      <c r="AO155" s="8"/>
      <c r="AP155" s="8"/>
      <c r="AV155" s="70"/>
    </row>
    <row r="156" spans="1:54" s="7" customFormat="1" ht="27" customHeight="1" thickBot="1" x14ac:dyDescent="0.4">
      <c r="A156" s="635" t="s">
        <v>117</v>
      </c>
      <c r="B156" s="636"/>
      <c r="C156" s="637"/>
      <c r="D156" s="638">
        <v>46052</v>
      </c>
      <c r="E156" s="639"/>
      <c r="F156" s="639"/>
      <c r="G156" s="639"/>
      <c r="H156" s="639"/>
      <c r="I156" s="639"/>
      <c r="J156" s="639"/>
      <c r="K156" s="639"/>
      <c r="L156" s="639"/>
      <c r="M156" s="639"/>
      <c r="N156" s="639"/>
      <c r="O156" s="639"/>
      <c r="P156" s="639"/>
      <c r="Q156" s="639"/>
      <c r="R156" s="639"/>
      <c r="S156" s="639"/>
      <c r="T156" s="639"/>
      <c r="U156" s="639"/>
      <c r="V156" s="639"/>
      <c r="W156" s="639"/>
      <c r="X156" s="639"/>
      <c r="Y156" s="639"/>
      <c r="Z156" s="639"/>
      <c r="AA156" s="639"/>
      <c r="AB156" s="639"/>
      <c r="AC156" s="639"/>
      <c r="AD156" s="639"/>
      <c r="AE156" s="639"/>
      <c r="AF156" s="639"/>
      <c r="AG156" s="639"/>
      <c r="AH156" s="639"/>
      <c r="AI156" s="639"/>
      <c r="AJ156" s="639"/>
      <c r="AK156" s="639"/>
      <c r="AL156" s="639"/>
      <c r="AM156" s="640"/>
      <c r="AO156" s="8"/>
      <c r="AP156" s="8"/>
      <c r="AV156" s="70"/>
    </row>
    <row r="157" spans="1:54" s="7" customFormat="1" x14ac:dyDescent="0.35">
      <c r="A157" s="460"/>
      <c r="B157" s="460"/>
      <c r="C157" s="460"/>
      <c r="D157" s="68"/>
      <c r="AO157" s="8"/>
      <c r="AP157" s="8"/>
      <c r="AV157" s="70"/>
    </row>
    <row r="158" spans="1:54" s="7" customFormat="1" x14ac:dyDescent="0.35">
      <c r="A158" s="16"/>
      <c r="AO158" s="8"/>
      <c r="AP158" s="8"/>
      <c r="AV158" s="70"/>
    </row>
    <row r="159" spans="1:54" s="7" customFormat="1" x14ac:dyDescent="0.35">
      <c r="A159" s="16"/>
      <c r="AO159" s="8"/>
      <c r="AP159" s="8"/>
      <c r="AV159" s="70"/>
    </row>
    <row r="160" spans="1:54" s="7" customFormat="1" x14ac:dyDescent="0.35">
      <c r="A160" s="16"/>
      <c r="AO160" s="8"/>
      <c r="AP160" s="8"/>
      <c r="AV160" s="70"/>
    </row>
    <row r="161" spans="1:48" s="7" customFormat="1" x14ac:dyDescent="0.35">
      <c r="A161" s="16"/>
      <c r="AO161" s="8"/>
      <c r="AP161" s="8"/>
      <c r="AV161" s="70"/>
    </row>
    <row r="162" spans="1:48" s="7" customFormat="1" x14ac:dyDescent="0.35">
      <c r="A162" s="16"/>
      <c r="AO162" s="8"/>
      <c r="AP162" s="8"/>
      <c r="AV162" s="70"/>
    </row>
    <row r="163" spans="1:48" s="7" customFormat="1" x14ac:dyDescent="0.35">
      <c r="A163" s="16"/>
      <c r="AO163" s="8"/>
      <c r="AP163" s="8"/>
      <c r="AV163" s="70"/>
    </row>
    <row r="164" spans="1:48" s="7" customFormat="1" x14ac:dyDescent="0.35">
      <c r="A164" s="16"/>
      <c r="AO164" s="8"/>
      <c r="AP164" s="8"/>
      <c r="AV164" s="70"/>
    </row>
    <row r="165" spans="1:48" s="7" customFormat="1" x14ac:dyDescent="0.35">
      <c r="A165" s="16"/>
      <c r="AO165" s="8"/>
      <c r="AP165" s="8"/>
      <c r="AV165" s="70"/>
    </row>
    <row r="166" spans="1:48" s="7" customFormat="1" x14ac:dyDescent="0.35">
      <c r="A166" s="16"/>
      <c r="AO166" s="8"/>
      <c r="AP166" s="8"/>
      <c r="AV166" s="70"/>
    </row>
    <row r="167" spans="1:48" s="7" customFormat="1" x14ac:dyDescent="0.35">
      <c r="A167" s="16"/>
      <c r="AO167" s="8"/>
      <c r="AP167" s="8"/>
      <c r="AV167" s="70"/>
    </row>
    <row r="168" spans="1:48" s="7" customFormat="1" x14ac:dyDescent="0.35">
      <c r="A168" s="16"/>
      <c r="AO168" s="8"/>
      <c r="AP168" s="8"/>
      <c r="AV168" s="70"/>
    </row>
    <row r="169" spans="1:48" s="7" customFormat="1" x14ac:dyDescent="0.35">
      <c r="A169" s="16"/>
      <c r="AO169" s="8"/>
      <c r="AP169" s="8"/>
      <c r="AV169" s="70"/>
    </row>
    <row r="170" spans="1:48" s="7" customFormat="1" x14ac:dyDescent="0.35">
      <c r="A170" s="16"/>
      <c r="AO170" s="8"/>
      <c r="AP170" s="8"/>
      <c r="AV170" s="70"/>
    </row>
    <row r="171" spans="1:48" s="7" customFormat="1" x14ac:dyDescent="0.35">
      <c r="A171" s="16"/>
      <c r="AO171" s="8"/>
      <c r="AP171" s="8"/>
      <c r="AV171" s="70"/>
    </row>
    <row r="172" spans="1:48" s="7" customFormat="1" x14ac:dyDescent="0.35">
      <c r="A172" s="16"/>
      <c r="AO172" s="8"/>
      <c r="AP172" s="8"/>
      <c r="AV172" s="70"/>
    </row>
    <row r="173" spans="1:48" s="7" customFormat="1" x14ac:dyDescent="0.35">
      <c r="A173" s="16"/>
      <c r="AO173" s="8"/>
      <c r="AP173" s="8"/>
      <c r="AV173" s="70"/>
    </row>
    <row r="174" spans="1:48" s="7" customFormat="1" x14ac:dyDescent="0.35">
      <c r="A174" s="16"/>
      <c r="AO174" s="8"/>
      <c r="AP174" s="8"/>
      <c r="AV174" s="70"/>
    </row>
    <row r="175" spans="1:48" s="7" customFormat="1" x14ac:dyDescent="0.35">
      <c r="A175" s="16"/>
      <c r="AO175" s="8"/>
      <c r="AP175" s="8"/>
      <c r="AV175" s="70"/>
    </row>
    <row r="176" spans="1:48" s="7" customFormat="1" x14ac:dyDescent="0.35">
      <c r="A176" s="16"/>
      <c r="AO176" s="8"/>
      <c r="AP176" s="8"/>
      <c r="AV176" s="70"/>
    </row>
    <row r="177" spans="1:48" s="7" customFormat="1" x14ac:dyDescent="0.35">
      <c r="A177" s="16"/>
      <c r="AO177" s="8"/>
      <c r="AP177" s="8"/>
      <c r="AV177" s="70"/>
    </row>
    <row r="178" spans="1:48" s="7" customFormat="1" x14ac:dyDescent="0.35">
      <c r="A178" s="16"/>
      <c r="AO178" s="8"/>
      <c r="AP178" s="8"/>
      <c r="AV178" s="70"/>
    </row>
    <row r="179" spans="1:48" s="7" customFormat="1" x14ac:dyDescent="0.35">
      <c r="A179" s="16"/>
      <c r="AO179" s="8"/>
      <c r="AP179" s="8"/>
      <c r="AV179" s="70"/>
    </row>
    <row r="180" spans="1:48" s="7" customFormat="1" x14ac:dyDescent="0.35">
      <c r="A180" s="16"/>
      <c r="AO180" s="8"/>
      <c r="AP180" s="8"/>
      <c r="AV180" s="70"/>
    </row>
    <row r="181" spans="1:48" s="7" customFormat="1" x14ac:dyDescent="0.35">
      <c r="A181" s="16"/>
      <c r="AO181" s="8"/>
      <c r="AP181" s="8"/>
      <c r="AV181" s="70"/>
    </row>
    <row r="182" spans="1:48" s="7" customFormat="1" x14ac:dyDescent="0.35">
      <c r="A182" s="16"/>
      <c r="AO182" s="8"/>
      <c r="AP182" s="8"/>
      <c r="AV182" s="70"/>
    </row>
    <row r="183" spans="1:48" s="7" customFormat="1" x14ac:dyDescent="0.35">
      <c r="A183" s="16"/>
      <c r="AO183" s="8"/>
      <c r="AP183" s="8"/>
      <c r="AV183" s="70"/>
    </row>
    <row r="184" spans="1:48" s="7" customFormat="1" x14ac:dyDescent="0.35">
      <c r="A184" s="16"/>
      <c r="AO184" s="8"/>
      <c r="AP184" s="8"/>
      <c r="AV184" s="70"/>
    </row>
    <row r="185" spans="1:48" s="7" customFormat="1" x14ac:dyDescent="0.35">
      <c r="A185" s="16"/>
      <c r="AO185" s="8"/>
      <c r="AP185" s="8"/>
      <c r="AV185" s="70"/>
    </row>
    <row r="186" spans="1:48" s="7" customFormat="1" x14ac:dyDescent="0.35">
      <c r="A186" s="16"/>
      <c r="AO186" s="8"/>
      <c r="AP186" s="8"/>
      <c r="AV186" s="70"/>
    </row>
    <row r="187" spans="1:48" s="7" customFormat="1" x14ac:dyDescent="0.35">
      <c r="A187" s="16"/>
      <c r="AO187" s="8"/>
      <c r="AP187" s="8"/>
      <c r="AV187" s="70"/>
    </row>
    <row r="188" spans="1:48" s="7" customFormat="1" x14ac:dyDescent="0.35">
      <c r="A188" s="16"/>
      <c r="AO188" s="8"/>
      <c r="AP188" s="8"/>
      <c r="AV188" s="70"/>
    </row>
    <row r="189" spans="1:48" s="7" customFormat="1" x14ac:dyDescent="0.35">
      <c r="A189" s="16"/>
      <c r="AO189" s="8"/>
      <c r="AP189" s="8"/>
      <c r="AV189" s="70"/>
    </row>
    <row r="190" spans="1:48" s="7" customFormat="1" x14ac:dyDescent="0.35">
      <c r="A190" s="16"/>
      <c r="AO190" s="8"/>
      <c r="AP190" s="8"/>
      <c r="AV190" s="70"/>
    </row>
    <row r="191" spans="1:48" s="7" customFormat="1" x14ac:dyDescent="0.35">
      <c r="A191" s="16"/>
      <c r="AO191" s="8"/>
      <c r="AP191" s="8"/>
      <c r="AV191" s="70"/>
    </row>
    <row r="192" spans="1:48" s="7" customFormat="1" x14ac:dyDescent="0.35">
      <c r="A192" s="16"/>
      <c r="AO192" s="8"/>
      <c r="AP192" s="8"/>
      <c r="AV192" s="70"/>
    </row>
    <row r="193" spans="1:1" x14ac:dyDescent="0.3">
      <c r="A193" s="16"/>
    </row>
    <row r="194" spans="1:1" x14ac:dyDescent="0.3">
      <c r="A194" s="16"/>
    </row>
    <row r="195" spans="1:1" x14ac:dyDescent="0.3">
      <c r="A195" s="16"/>
    </row>
    <row r="196" spans="1:1" x14ac:dyDescent="0.3">
      <c r="A196" s="16"/>
    </row>
    <row r="197" spans="1:1" x14ac:dyDescent="0.3">
      <c r="A197" s="16"/>
    </row>
  </sheetData>
  <sheetProtection formatColumns="0" formatRows="0" insertColumns="0" insertRows="0" insertHyperlinks="0" deleteColumns="0" deleteRows="0" selectLockedCells="1" sort="0" autoFilter="0" pivotTables="0"/>
  <protectedRanges>
    <protectedRange algorithmName="SHA-512" hashValue="7FJpRjMClRRlEDaRiv2I45XnJ5nVe6Y81mjOK27+pd76r1+ad5pIvVkVn8vpLooPef4Z+bpcH2bfqg0F/3hsww==" saltValue="Lq5joJryvX0cvidipyTKig==" spinCount="100000" sqref="AI16:AI17" name="Total ore_2_1_1"/>
  </protectedRanges>
  <autoFilter ref="A109:BB152" xr:uid="{74F9B708-9EBE-4597-8141-A5D865CB1896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198">
    <mergeCell ref="A156:C156"/>
    <mergeCell ref="D156:AM156"/>
    <mergeCell ref="A157:C157"/>
    <mergeCell ref="A153:C153"/>
    <mergeCell ref="D153:AM153"/>
    <mergeCell ref="A154:C154"/>
    <mergeCell ref="D154:AM154"/>
    <mergeCell ref="A155:C155"/>
    <mergeCell ref="D155:AM155"/>
    <mergeCell ref="A150:C150"/>
    <mergeCell ref="D150:AM150"/>
    <mergeCell ref="A151:C151"/>
    <mergeCell ref="D151:AM151"/>
    <mergeCell ref="A152:C152"/>
    <mergeCell ref="D152:AM152"/>
    <mergeCell ref="B145:C145"/>
    <mergeCell ref="D145:AJ145"/>
    <mergeCell ref="B146:C146"/>
    <mergeCell ref="D146:AJ146"/>
    <mergeCell ref="A147:AJ147"/>
    <mergeCell ref="A148:AM149"/>
    <mergeCell ref="B142:C142"/>
    <mergeCell ref="D142:AJ142"/>
    <mergeCell ref="B143:C143"/>
    <mergeCell ref="D143:AJ143"/>
    <mergeCell ref="B144:C144"/>
    <mergeCell ref="D144:AJ144"/>
    <mergeCell ref="B139:C139"/>
    <mergeCell ref="D139:AJ139"/>
    <mergeCell ref="B140:C140"/>
    <mergeCell ref="D140:AJ140"/>
    <mergeCell ref="B141:C141"/>
    <mergeCell ref="D141:AJ141"/>
    <mergeCell ref="B136:C136"/>
    <mergeCell ref="D136:AJ136"/>
    <mergeCell ref="B137:C137"/>
    <mergeCell ref="D137:AJ137"/>
    <mergeCell ref="B138:C138"/>
    <mergeCell ref="D138:AJ138"/>
    <mergeCell ref="B132:C132"/>
    <mergeCell ref="D132:AJ132"/>
    <mergeCell ref="B133:C133"/>
    <mergeCell ref="D133:AJ133"/>
    <mergeCell ref="B134:C134"/>
    <mergeCell ref="D134:AJ134"/>
    <mergeCell ref="B135:C135"/>
    <mergeCell ref="D135:AJ135"/>
    <mergeCell ref="B129:C129"/>
    <mergeCell ref="D129:AJ129"/>
    <mergeCell ref="B130:C130"/>
    <mergeCell ref="D130:AJ130"/>
    <mergeCell ref="B131:C131"/>
    <mergeCell ref="D131:AJ131"/>
    <mergeCell ref="B126:C126"/>
    <mergeCell ref="D126:AJ126"/>
    <mergeCell ref="B127:C127"/>
    <mergeCell ref="D127:AJ127"/>
    <mergeCell ref="B128:C128"/>
    <mergeCell ref="D128:AJ128"/>
    <mergeCell ref="B123:C123"/>
    <mergeCell ref="D123:AJ123"/>
    <mergeCell ref="B124:C124"/>
    <mergeCell ref="D124:AJ124"/>
    <mergeCell ref="B125:C125"/>
    <mergeCell ref="D125:AJ125"/>
    <mergeCell ref="B120:C120"/>
    <mergeCell ref="D120:AJ120"/>
    <mergeCell ref="B121:C121"/>
    <mergeCell ref="D121:AJ121"/>
    <mergeCell ref="B122:C122"/>
    <mergeCell ref="D122:AJ122"/>
    <mergeCell ref="B117:C117"/>
    <mergeCell ref="D117:AJ117"/>
    <mergeCell ref="B118:C118"/>
    <mergeCell ref="D118:AJ118"/>
    <mergeCell ref="B119:C119"/>
    <mergeCell ref="D119:AJ119"/>
    <mergeCell ref="G113:AM113"/>
    <mergeCell ref="B114:C114"/>
    <mergeCell ref="D114:AJ114"/>
    <mergeCell ref="B115:C115"/>
    <mergeCell ref="D115:AJ115"/>
    <mergeCell ref="B116:C116"/>
    <mergeCell ref="D116:AJ116"/>
    <mergeCell ref="A109:F109"/>
    <mergeCell ref="G109:AM109"/>
    <mergeCell ref="AN109:AN113"/>
    <mergeCell ref="A110:F110"/>
    <mergeCell ref="G110:AM110"/>
    <mergeCell ref="A111:F111"/>
    <mergeCell ref="G111:AM111"/>
    <mergeCell ref="A112:F112"/>
    <mergeCell ref="G112:AM112"/>
    <mergeCell ref="A113:F113"/>
    <mergeCell ref="L70:M70"/>
    <mergeCell ref="B71:C71"/>
    <mergeCell ref="D71:E71"/>
    <mergeCell ref="F71:G71"/>
    <mergeCell ref="H71:I71"/>
    <mergeCell ref="J71:K71"/>
    <mergeCell ref="L71:M71"/>
    <mergeCell ref="A70:A71"/>
    <mergeCell ref="B70:C70"/>
    <mergeCell ref="D70:E70"/>
    <mergeCell ref="F70:G70"/>
    <mergeCell ref="H70:I70"/>
    <mergeCell ref="J70:K70"/>
    <mergeCell ref="F66:AF66"/>
    <mergeCell ref="AG66:AL66"/>
    <mergeCell ref="F67:AF67"/>
    <mergeCell ref="AG67:AL67"/>
    <mergeCell ref="F68:AF68"/>
    <mergeCell ref="AG68:AL68"/>
    <mergeCell ref="F63:AF63"/>
    <mergeCell ref="AG63:AL63"/>
    <mergeCell ref="F64:AF64"/>
    <mergeCell ref="AG64:AL64"/>
    <mergeCell ref="F65:AF65"/>
    <mergeCell ref="AG65:AL65"/>
    <mergeCell ref="F60:AF60"/>
    <mergeCell ref="AG60:AL60"/>
    <mergeCell ref="F61:AF61"/>
    <mergeCell ref="AG61:AL61"/>
    <mergeCell ref="F62:AF62"/>
    <mergeCell ref="AG62:AL62"/>
    <mergeCell ref="F57:AF57"/>
    <mergeCell ref="AG57:AL57"/>
    <mergeCell ref="F58:AF58"/>
    <mergeCell ref="AG58:AL58"/>
    <mergeCell ref="F59:AF59"/>
    <mergeCell ref="AG59:AL59"/>
    <mergeCell ref="F54:AF54"/>
    <mergeCell ref="AG54:AL54"/>
    <mergeCell ref="F55:AF55"/>
    <mergeCell ref="AG55:AL55"/>
    <mergeCell ref="F56:AF56"/>
    <mergeCell ref="AG56:AL56"/>
    <mergeCell ref="F51:AF51"/>
    <mergeCell ref="AG51:AL51"/>
    <mergeCell ref="F52:AF52"/>
    <mergeCell ref="AG52:AL52"/>
    <mergeCell ref="F53:AF53"/>
    <mergeCell ref="AG53:AL53"/>
    <mergeCell ref="F48:AF48"/>
    <mergeCell ref="AG48:AL48"/>
    <mergeCell ref="F49:AF49"/>
    <mergeCell ref="AG49:AL49"/>
    <mergeCell ref="F50:AF50"/>
    <mergeCell ref="AG50:AL50"/>
    <mergeCell ref="F45:AF45"/>
    <mergeCell ref="AG45:AL45"/>
    <mergeCell ref="F46:AF46"/>
    <mergeCell ref="AG46:AL46"/>
    <mergeCell ref="F47:AF47"/>
    <mergeCell ref="AG47:AL47"/>
    <mergeCell ref="F42:AF42"/>
    <mergeCell ref="AG42:AL42"/>
    <mergeCell ref="F43:AF43"/>
    <mergeCell ref="AG43:AL43"/>
    <mergeCell ref="F44:AF44"/>
    <mergeCell ref="AG44:AL44"/>
    <mergeCell ref="F39:AF39"/>
    <mergeCell ref="AG39:AL39"/>
    <mergeCell ref="F40:AF40"/>
    <mergeCell ref="AG40:AL40"/>
    <mergeCell ref="F41:AF41"/>
    <mergeCell ref="AG41:AL41"/>
    <mergeCell ref="B37:C37"/>
    <mergeCell ref="D37:E37"/>
    <mergeCell ref="F37:AF37"/>
    <mergeCell ref="AG37:AL37"/>
    <mergeCell ref="F38:AF38"/>
    <mergeCell ref="AG38:AL38"/>
    <mergeCell ref="I28:O28"/>
    <mergeCell ref="P28:V28"/>
    <mergeCell ref="A33:K33"/>
    <mergeCell ref="R33:Y33"/>
    <mergeCell ref="A34:K34"/>
    <mergeCell ref="A35:K35"/>
    <mergeCell ref="I27:O27"/>
    <mergeCell ref="P27:V27"/>
    <mergeCell ref="AJ12:AJ14"/>
    <mergeCell ref="AK12:AK14"/>
    <mergeCell ref="AL12:AL14"/>
    <mergeCell ref="I20:O20"/>
    <mergeCell ref="P20:V20"/>
    <mergeCell ref="I22:O22"/>
    <mergeCell ref="P22:V22"/>
    <mergeCell ref="B8:AF10"/>
    <mergeCell ref="B11:AF11"/>
    <mergeCell ref="A12:AF12"/>
    <mergeCell ref="AG12:AG14"/>
    <mergeCell ref="AH12:AH14"/>
    <mergeCell ref="AI12:AI14"/>
    <mergeCell ref="I25:O25"/>
    <mergeCell ref="P25:V25"/>
    <mergeCell ref="I26:O26"/>
    <mergeCell ref="P26:V26"/>
  </mergeCells>
  <phoneticPr fontId="21" type="noConversion"/>
  <dataValidations count="8"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5:AT117" xr:uid="{EC635360-5545-417C-A58D-DC5150BCC14E}">
      <formula1>AND(AQ118="Nu", OR(AQ118="Da", AND(AQ118="Da", AR118&lt;&gt;"")), AS118&lt;&gt;"")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5:AX117" xr:uid="{53C707A9-7BC9-49A5-8DBB-E3351DDA5950}">
      <formula1>AW118&lt;&gt;""</formula1>
    </dataValidation>
    <dataValidation type="custom" allowBlank="1" showInputMessage="1" showErrorMessage="1" errorTitle="Eroare Validare Livrabil" error="Categoria livrabilului (AU) este obligatoriu." sqref="AV115:AV117" xr:uid="{91AC652A-5E88-47A5-B500-045D138CB7FD}">
      <formula1>AU118&lt;&gt;""</formula1>
    </dataValidation>
    <dataValidation type="custom" allowBlank="1" showInputMessage="1" showErrorMessage="1" errorTitle="Eroare Validare Livrabil" error="Categoria livrabilului (AU) este obligatoriu." sqref="AX120" xr:uid="{1A2C4E5F-EE19-4E01-B077-CB0ECD8D5437}">
      <formula1>AU121&lt;&gt;""</formula1>
    </dataValidation>
    <dataValidation type="custom" allowBlank="1" showInputMessage="1" showErrorMessage="1" errorTitle="Eroare Validare Livrabil" error="Categoria livrabilului (AU) este obligatoriu." sqref="AV118 AV120:AV146" xr:uid="{1E61AE53-2533-48E8-AE37-F7AB54EF9D01}">
      <formula1>AU120&lt;&gt;""</formula1>
    </dataValidation>
    <dataValidation type="list" allowBlank="1" showInputMessage="1" showErrorMessage="1" sqref="C38:C68" xr:uid="{183E8860-A1B3-41EA-A863-32D1F7184128}">
      <formula1>"WP1,WP2,WP3,WP4"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8:AT146" xr:uid="{BEAB2CCC-C1D6-4E06-AF90-D590E283B2B2}">
      <formula1>AND(AQ120="Nu", OR(AQ120="Da", AND(AQ120="Da", AR120&lt;&gt;"")), AS120&lt;&gt;"")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8:AX146" xr:uid="{74CA6084-0EC0-4C0B-956C-D7A7C93EC51C}">
      <formula1>AW120&lt;&gt;""</formula1>
    </dataValidation>
  </dataValidations>
  <hyperlinks>
    <hyperlink ref="AV130" r:id="rId1" xr:uid="{DB9FA612-5EB2-4913-92B0-93A564BA3B90}"/>
    <hyperlink ref="AV134" r:id="rId2" xr:uid="{B8D357AA-EB6B-45CD-8ED0-C92E07078163}"/>
    <hyperlink ref="AV135" r:id="rId3" xr:uid="{194CA2C8-0716-4810-ABED-8C1DA42FD09C}"/>
    <hyperlink ref="AV141" r:id="rId4" xr:uid="{C535246C-9E1C-4195-AAD2-B8A0BEC583B5}"/>
    <hyperlink ref="AV143" r:id="rId5" xr:uid="{716A4E5D-6CB6-4DCA-AD49-5B6CA556F888}"/>
    <hyperlink ref="AV144" r:id="rId6" xr:uid="{1B02452F-5DE1-4746-80F5-2939872C3EE3}"/>
    <hyperlink ref="BA144" r:id="rId7" xr:uid="{E57A966D-CD03-4FC8-BF73-758717092C4C}"/>
    <hyperlink ref="BB144" r:id="rId8" xr:uid="{7CA86E4A-4B36-490D-9EA4-992930E46CDE}"/>
    <hyperlink ref="AV136" r:id="rId9" display="https://confederatiaconcordia.sharepoint.com/:w:/s/PEO2024-2028/IQAu0FXXMSdjSK0nyD96L3CbAUI5Q-p0gonhU2_tXhG3L_8?e=qgFPU8" xr:uid="{3B720F91-7AB2-47F3-98CF-EB018388C624}"/>
  </hyperlinks>
  <pageMargins left="0.25" right="0.25" top="0.75" bottom="0.75" header="0.3" footer="0.3"/>
  <pageSetup paperSize="9" scale="13" fitToHeight="0" orientation="portrait" r:id="rId10"/>
  <drawing r:id="rId1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BCA76E3-D57D-4F99-B909-B1DAC732D75A}">
          <x14:formula1>
            <xm:f>Activitati!$A$1</xm:f>
          </x14:formula1>
          <xm:sqref>B115:C146</xm:sqref>
        </x14:dataValidation>
        <x14:dataValidation type="list" allowBlank="1" showInputMessage="1" showErrorMessage="1" xr:uid="{B8FE2EC3-D592-4A7C-AD7F-DC296749987D}">
          <x14:formula1>
            <xm:f>Activitati!$A$2:$A$5</xm:f>
          </x14:formula1>
          <xm:sqref>D115:AJ146</xm:sqref>
        </x14:dataValidation>
        <x14:dataValidation type="list" allowBlank="1" showInputMessage="1" showErrorMessage="1" xr:uid="{60A84D50-0721-4C55-B455-B30C82E48C80}">
          <x14:formula1>
            <xm:f>Activitati!$B$2:$B$3</xm:f>
          </x14:formula1>
          <xm:sqref>AQ115:AQ146</xm:sqref>
        </x14:dataValidation>
        <x14:dataValidation type="list" allowBlank="1" showInputMessage="1" showErrorMessage="1" xr:uid="{E84CBED5-E028-49FF-92B7-CB0E2DB6F145}">
          <x14:formula1>
            <xm:f>Activitati!$C$2:$C$3</xm:f>
          </x14:formula1>
          <xm:sqref>AS115:AS146</xm:sqref>
        </x14:dataValidation>
        <x14:dataValidation type="list" allowBlank="1" showInputMessage="1" showErrorMessage="1" xr:uid="{18EF845C-5D8B-4AAF-8CA3-C87FBC84D3B5}">
          <x14:formula1>
            <xm:f>Activitati!$D$2:$D$11</xm:f>
          </x14:formula1>
          <xm:sqref>AY115:AY146 AW115:AW146 AU115:AU146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3BCB-289A-4E1B-87AF-F8454ABAA33E}">
  <sheetPr>
    <pageSetUpPr fitToPage="1"/>
  </sheetPr>
  <dimension ref="A1:BB192"/>
  <sheetViews>
    <sheetView showGridLines="0" zoomScale="115" zoomScaleNormal="115" workbookViewId="0">
      <selection activeCell="B17" sqref="B17:AB17"/>
    </sheetView>
  </sheetViews>
  <sheetFormatPr defaultColWidth="8.7265625" defaultRowHeight="13" x14ac:dyDescent="0.3"/>
  <cols>
    <col min="1" max="1" width="30.453125" style="4" customWidth="1"/>
    <col min="2" max="2" width="3.453125" style="4" customWidth="1"/>
    <col min="3" max="3" width="4.453125" style="4" customWidth="1"/>
    <col min="4" max="32" width="3.453125" style="4" customWidth="1"/>
    <col min="33" max="34" width="7.453125" style="4" customWidth="1"/>
    <col min="35" max="35" width="6.54296875" style="4" customWidth="1"/>
    <col min="36" max="36" width="6.453125" style="4" customWidth="1"/>
    <col min="37" max="37" width="7.54296875" style="4" customWidth="1"/>
    <col min="38" max="38" width="7.7265625" style="309" customWidth="1"/>
    <col min="39" max="39" width="10.7265625" style="4" customWidth="1"/>
    <col min="40" max="40" width="79.7265625" style="4" customWidth="1"/>
    <col min="41" max="41" width="25.26953125" style="5" customWidth="1"/>
    <col min="42" max="42" width="20.7265625" style="5" customWidth="1"/>
    <col min="43" max="43" width="31.26953125" style="4" customWidth="1"/>
    <col min="44" max="44" width="33" style="4" customWidth="1"/>
    <col min="45" max="45" width="44.26953125" style="4" customWidth="1"/>
    <col min="46" max="46" width="47.7265625" style="4" customWidth="1"/>
    <col min="47" max="47" width="28.1796875" style="4" customWidth="1"/>
    <col min="48" max="48" width="68.453125" style="55" customWidth="1"/>
    <col min="49" max="49" width="28.453125" style="4" customWidth="1"/>
    <col min="50" max="50" width="53.7265625" style="4" customWidth="1"/>
    <col min="51" max="51" width="28.453125" style="4" customWidth="1"/>
    <col min="52" max="52" width="18.26953125" style="4" customWidth="1"/>
    <col min="53" max="53" width="33.7265625" style="4" customWidth="1"/>
    <col min="54" max="54" width="34.7265625" style="4" customWidth="1"/>
    <col min="55" max="16384" width="8.7265625" style="4"/>
  </cols>
  <sheetData>
    <row r="1" spans="1:39" ht="13.5" thickBot="1" x14ac:dyDescent="0.35">
      <c r="A1" s="32" t="s">
        <v>0</v>
      </c>
      <c r="B1" s="33"/>
    </row>
    <row r="2" spans="1:39" ht="13.5" thickBot="1" x14ac:dyDescent="0.35">
      <c r="A2" s="34" t="s">
        <v>1</v>
      </c>
      <c r="B2" s="35"/>
    </row>
    <row r="3" spans="1:39" ht="13.5" thickBot="1" x14ac:dyDescent="0.35">
      <c r="A3" s="34" t="s">
        <v>2</v>
      </c>
      <c r="B3" s="36" t="s">
        <v>3</v>
      </c>
    </row>
    <row r="4" spans="1:39" ht="13.5" thickBot="1" x14ac:dyDescent="0.35">
      <c r="A4" s="34" t="s">
        <v>4</v>
      </c>
      <c r="B4" s="36" t="s">
        <v>5</v>
      </c>
    </row>
    <row r="5" spans="1:39" ht="13.5" thickBot="1" x14ac:dyDescent="0.35">
      <c r="A5" s="37" t="s">
        <v>6</v>
      </c>
      <c r="B5" s="36" t="s">
        <v>7</v>
      </c>
    </row>
    <row r="6" spans="1:39" ht="13.5" thickBot="1" x14ac:dyDescent="0.35">
      <c r="A6" s="37" t="s">
        <v>8</v>
      </c>
      <c r="B6" s="38">
        <v>8</v>
      </c>
    </row>
    <row r="7" spans="1:39" ht="13.5" thickBot="1" x14ac:dyDescent="0.35">
      <c r="A7" s="39"/>
      <c r="B7" s="40"/>
    </row>
    <row r="8" spans="1:39" ht="20.149999999999999" customHeight="1" x14ac:dyDescent="0.3">
      <c r="B8" s="564" t="s">
        <v>9</v>
      </c>
      <c r="C8" s="565"/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6"/>
    </row>
    <row r="9" spans="1:39" ht="20.149999999999999" customHeight="1" x14ac:dyDescent="0.3">
      <c r="B9" s="567"/>
      <c r="C9" s="568"/>
      <c r="D9" s="568"/>
      <c r="E9" s="568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  <c r="AA9" s="568"/>
      <c r="AB9" s="568"/>
      <c r="AC9" s="568"/>
      <c r="AD9" s="568"/>
      <c r="AE9" s="568"/>
      <c r="AF9" s="569"/>
    </row>
    <row r="10" spans="1:39" ht="20.149999999999999" customHeight="1" thickBot="1" x14ac:dyDescent="0.35">
      <c r="B10" s="570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D10" s="571"/>
      <c r="AE10" s="571"/>
      <c r="AF10" s="572"/>
    </row>
    <row r="11" spans="1:39" ht="15" thickBot="1" x14ac:dyDescent="0.4">
      <c r="B11" s="573" t="s">
        <v>10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41"/>
      <c r="AH11" s="42"/>
      <c r="AI11" s="41"/>
      <c r="AJ11" s="42"/>
      <c r="AK11" s="41"/>
      <c r="AL11" s="310"/>
      <c r="AM11" s="41"/>
    </row>
    <row r="12" spans="1:39" ht="13.5" thickBot="1" x14ac:dyDescent="0.35">
      <c r="A12" s="574" t="s">
        <v>118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6" t="s">
        <v>12</v>
      </c>
      <c r="AH12" s="558" t="s">
        <v>13</v>
      </c>
      <c r="AI12" s="558" t="s">
        <v>14</v>
      </c>
      <c r="AJ12" s="558" t="s">
        <v>15</v>
      </c>
      <c r="AK12" s="558" t="s">
        <v>16</v>
      </c>
      <c r="AL12" s="651" t="s">
        <v>17</v>
      </c>
      <c r="AM12" s="43"/>
    </row>
    <row r="13" spans="1:39" ht="17.149999999999999" customHeight="1" thickBot="1" x14ac:dyDescent="0.35">
      <c r="A13" s="44" t="s">
        <v>18</v>
      </c>
      <c r="B13" s="223">
        <v>1</v>
      </c>
      <c r="C13" s="153">
        <v>2</v>
      </c>
      <c r="D13" s="153">
        <v>3</v>
      </c>
      <c r="E13" s="153">
        <v>4</v>
      </c>
      <c r="F13" s="153">
        <v>5</v>
      </c>
      <c r="G13" s="153">
        <v>6</v>
      </c>
      <c r="H13" s="47">
        <v>7</v>
      </c>
      <c r="I13" s="47">
        <v>8</v>
      </c>
      <c r="J13" s="153">
        <v>9</v>
      </c>
      <c r="K13" s="153">
        <v>10</v>
      </c>
      <c r="L13" s="153">
        <v>11</v>
      </c>
      <c r="M13" s="153">
        <v>12</v>
      </c>
      <c r="N13" s="153">
        <v>13</v>
      </c>
      <c r="O13" s="47">
        <v>14</v>
      </c>
      <c r="P13" s="47">
        <v>15</v>
      </c>
      <c r="Q13" s="153">
        <v>16</v>
      </c>
      <c r="R13" s="153">
        <v>17</v>
      </c>
      <c r="S13" s="153">
        <v>18</v>
      </c>
      <c r="T13" s="153">
        <v>19</v>
      </c>
      <c r="U13" s="153">
        <v>20</v>
      </c>
      <c r="V13" s="47">
        <v>21</v>
      </c>
      <c r="W13" s="47">
        <v>22</v>
      </c>
      <c r="X13" s="153">
        <v>23</v>
      </c>
      <c r="Y13" s="153">
        <v>24</v>
      </c>
      <c r="Z13" s="153">
        <v>25</v>
      </c>
      <c r="AA13" s="153">
        <v>26</v>
      </c>
      <c r="AB13" s="153">
        <v>27</v>
      </c>
      <c r="AC13" s="47">
        <v>28</v>
      </c>
      <c r="AD13" s="212"/>
      <c r="AE13" s="212"/>
      <c r="AF13" s="213"/>
      <c r="AG13" s="577"/>
      <c r="AH13" s="579"/>
      <c r="AI13" s="559"/>
      <c r="AJ13" s="559"/>
      <c r="AK13" s="559"/>
      <c r="AL13" s="652"/>
      <c r="AM13" s="48"/>
    </row>
    <row r="14" spans="1:39" ht="20.149999999999999" customHeight="1" thickBot="1" x14ac:dyDescent="0.35">
      <c r="A14" s="49" t="s">
        <v>19</v>
      </c>
      <c r="B14" s="52" t="s">
        <v>23</v>
      </c>
      <c r="C14" s="51" t="s">
        <v>24</v>
      </c>
      <c r="D14" s="51" t="s">
        <v>25</v>
      </c>
      <c r="E14" s="51" t="s">
        <v>26</v>
      </c>
      <c r="F14" s="51" t="s">
        <v>20</v>
      </c>
      <c r="G14" s="51" t="s">
        <v>21</v>
      </c>
      <c r="H14" s="52" t="s">
        <v>22</v>
      </c>
      <c r="I14" s="52" t="s">
        <v>23</v>
      </c>
      <c r="J14" s="51" t="s">
        <v>24</v>
      </c>
      <c r="K14" s="51" t="s">
        <v>25</v>
      </c>
      <c r="L14" s="51" t="s">
        <v>26</v>
      </c>
      <c r="M14" s="51" t="s">
        <v>20</v>
      </c>
      <c r="N14" s="51" t="s">
        <v>21</v>
      </c>
      <c r="O14" s="52" t="s">
        <v>22</v>
      </c>
      <c r="P14" s="52" t="s">
        <v>23</v>
      </c>
      <c r="Q14" s="51" t="s">
        <v>24</v>
      </c>
      <c r="R14" s="51" t="s">
        <v>25</v>
      </c>
      <c r="S14" s="51" t="s">
        <v>26</v>
      </c>
      <c r="T14" s="51" t="s">
        <v>20</v>
      </c>
      <c r="U14" s="51" t="s">
        <v>21</v>
      </c>
      <c r="V14" s="52" t="s">
        <v>22</v>
      </c>
      <c r="W14" s="52" t="s">
        <v>23</v>
      </c>
      <c r="X14" s="51" t="s">
        <v>24</v>
      </c>
      <c r="Y14" s="51" t="s">
        <v>25</v>
      </c>
      <c r="Z14" s="51" t="s">
        <v>26</v>
      </c>
      <c r="AA14" s="51" t="s">
        <v>20</v>
      </c>
      <c r="AB14" s="51" t="s">
        <v>21</v>
      </c>
      <c r="AC14" s="52" t="s">
        <v>22</v>
      </c>
      <c r="AD14" s="214"/>
      <c r="AE14" s="214"/>
      <c r="AF14" s="214"/>
      <c r="AG14" s="578"/>
      <c r="AH14" s="580"/>
      <c r="AI14" s="560"/>
      <c r="AJ14" s="560"/>
      <c r="AK14" s="560"/>
      <c r="AL14" s="653"/>
      <c r="AM14" s="48"/>
    </row>
    <row r="15" spans="1:39" ht="20.149999999999999" customHeight="1" x14ac:dyDescent="0.3">
      <c r="A15" s="120" t="s">
        <v>27</v>
      </c>
      <c r="B15" s="224"/>
      <c r="C15" s="154">
        <f>8-SUM(C16:C17)</f>
        <v>0</v>
      </c>
      <c r="D15" s="154">
        <f>8-SUM(D16:D17)</f>
        <v>0</v>
      </c>
      <c r="E15" s="154">
        <f>8-SUM(E16:E17)</f>
        <v>0</v>
      </c>
      <c r="F15" s="154">
        <f>8-SUM(F16:F17)</f>
        <v>0</v>
      </c>
      <c r="G15" s="154">
        <f>8-SUM(G16:G17)</f>
        <v>0</v>
      </c>
      <c r="H15" s="78"/>
      <c r="I15" s="78"/>
      <c r="J15" s="154">
        <f>8-SUM(J16:J17)</f>
        <v>0</v>
      </c>
      <c r="K15" s="154">
        <f>8-SUM(K16:K17)</f>
        <v>0</v>
      </c>
      <c r="L15" s="154">
        <f>8-SUM(L16:L17)</f>
        <v>0</v>
      </c>
      <c r="M15" s="154">
        <f>8-SUM(M16:M17)</f>
        <v>0</v>
      </c>
      <c r="N15" s="154" t="s">
        <v>5</v>
      </c>
      <c r="O15" s="78"/>
      <c r="P15" s="78"/>
      <c r="Q15" s="154" t="s">
        <v>5</v>
      </c>
      <c r="R15" s="154">
        <f>8-SUM(R16:R17)</f>
        <v>0</v>
      </c>
      <c r="S15" s="154">
        <f>8-SUM(S16:S17)</f>
        <v>0</v>
      </c>
      <c r="T15" s="154">
        <f>8-SUM(T16:T17)</f>
        <v>0</v>
      </c>
      <c r="U15" s="154">
        <f>8-SUM(U16:U17)</f>
        <v>0</v>
      </c>
      <c r="V15" s="78"/>
      <c r="W15" s="78"/>
      <c r="X15" s="154">
        <f>8-SUM(X16:X17)</f>
        <v>0</v>
      </c>
      <c r="Y15" s="154">
        <f>8-SUM(Y16:Y17)</f>
        <v>0</v>
      </c>
      <c r="Z15" s="154">
        <f>8-SUM(Z16:Z17)</f>
        <v>0</v>
      </c>
      <c r="AA15" s="154">
        <f>8-SUM(AA16:AA17)</f>
        <v>0</v>
      </c>
      <c r="AB15" s="154">
        <f>8-SUM(AB16:AB17)</f>
        <v>0</v>
      </c>
      <c r="AC15" s="78"/>
      <c r="AD15" s="215"/>
      <c r="AE15" s="215"/>
      <c r="AF15" s="216"/>
      <c r="AG15" s="84">
        <f>SUM(B15:AF15)+COUNTIF(B15:AF15, "DE")*8</f>
        <v>0</v>
      </c>
      <c r="AH15" s="85">
        <f>AG15/8</f>
        <v>0</v>
      </c>
      <c r="AI15" s="85">
        <f>COUNTIF(B15:AF15,"CO")*2</f>
        <v>4</v>
      </c>
      <c r="AJ15" s="85">
        <f>AI15/8</f>
        <v>0.5</v>
      </c>
      <c r="AK15" s="85">
        <f>COUNTIF(B15:AF15, "CM")*8</f>
        <v>0</v>
      </c>
      <c r="AL15" s="311">
        <f>AK15/8</f>
        <v>0</v>
      </c>
      <c r="AM15" s="53"/>
    </row>
    <row r="16" spans="1:39" ht="20.149999999999999" customHeight="1" x14ac:dyDescent="0.3">
      <c r="A16" s="119" t="s">
        <v>28</v>
      </c>
      <c r="B16" s="225" t="str" cm="1">
        <f t="array" ref="B16:AC16">TRANSPOSE(IF(E38:E65="","",E38:E65))</f>
        <v/>
      </c>
      <c r="C16" s="155">
        <v>2</v>
      </c>
      <c r="D16" s="155">
        <v>2</v>
      </c>
      <c r="E16" s="155">
        <v>2</v>
      </c>
      <c r="F16" s="155">
        <v>2</v>
      </c>
      <c r="G16" s="155">
        <v>2</v>
      </c>
      <c r="H16" s="80" t="str">
        <v/>
      </c>
      <c r="I16" s="80" t="str">
        <v/>
      </c>
      <c r="J16" s="155">
        <v>2</v>
      </c>
      <c r="K16" s="155">
        <v>2</v>
      </c>
      <c r="L16" s="155">
        <v>2</v>
      </c>
      <c r="M16" s="155">
        <v>2</v>
      </c>
      <c r="N16" s="155" t="str">
        <v/>
      </c>
      <c r="O16" s="80" t="str">
        <v/>
      </c>
      <c r="P16" s="80" t="str">
        <v/>
      </c>
      <c r="Q16" s="155" t="str">
        <v/>
      </c>
      <c r="R16" s="155">
        <v>2</v>
      </c>
      <c r="S16" s="155">
        <v>2</v>
      </c>
      <c r="T16" s="155">
        <v>2</v>
      </c>
      <c r="U16" s="155">
        <v>2</v>
      </c>
      <c r="V16" s="80" t="str">
        <v/>
      </c>
      <c r="W16" s="80" t="str">
        <v/>
      </c>
      <c r="X16" s="155">
        <v>6</v>
      </c>
      <c r="Y16" s="155">
        <v>2</v>
      </c>
      <c r="Z16" s="155" t="str">
        <v/>
      </c>
      <c r="AA16" s="155" t="str">
        <v/>
      </c>
      <c r="AB16" s="155">
        <v>2</v>
      </c>
      <c r="AC16" s="80" t="str">
        <v/>
      </c>
      <c r="AD16" s="217"/>
      <c r="AE16" s="217"/>
      <c r="AF16" s="218"/>
      <c r="AG16" s="87">
        <f>SUM(B16:AF16)+COUNTIF(B16:AF16, "DE")*8</f>
        <v>36</v>
      </c>
      <c r="AH16" s="88">
        <f>AG16/8</f>
        <v>4.5</v>
      </c>
      <c r="AI16" s="88">
        <f>COUNTIF(B16:AF16,"CO")*6</f>
        <v>0</v>
      </c>
      <c r="AJ16" s="88">
        <f>AI16/8</f>
        <v>0</v>
      </c>
      <c r="AK16" s="88">
        <f>COUNTIF(B16:AF16, "CM")*8</f>
        <v>0</v>
      </c>
      <c r="AL16" s="312">
        <f>AK16/8</f>
        <v>0</v>
      </c>
      <c r="AM16" s="53"/>
    </row>
    <row r="17" spans="1:39" ht="26.25" customHeight="1" thickBot="1" x14ac:dyDescent="0.35">
      <c r="A17" s="109" t="s">
        <v>29</v>
      </c>
      <c r="B17" s="226"/>
      <c r="C17" s="156">
        <f>SUMIFS($AL$112:$AL$141,$A$112:$A$141,"="&amp;DATE(2026,2,C13))</f>
        <v>6</v>
      </c>
      <c r="D17" s="156">
        <f>SUMIFS($AL$112:$AL$141,$A$112:$A$141,"="&amp;DATE(2026,2,D13))</f>
        <v>6</v>
      </c>
      <c r="E17" s="156">
        <f>SUMIFS($AL$112:$AL$141,$A$112:$A$141,"="&amp;DATE(2026,2,E13))</f>
        <v>6</v>
      </c>
      <c r="F17" s="156">
        <f>SUMIFS($AL$112:$AL$141,$A$112:$A$141,"="&amp;DATE(2026,2,F13))</f>
        <v>6</v>
      </c>
      <c r="G17" s="156">
        <f>SUMIFS($AL$112:$AL$141,$A$112:$A$141,"="&amp;DATE(2026,2,G13))</f>
        <v>6</v>
      </c>
      <c r="H17" s="82"/>
      <c r="I17" s="82"/>
      <c r="J17" s="156">
        <f>SUMIFS($AL$112:$AL$141,$A$112:$A$141,"="&amp;DATE(2026,2,J13))</f>
        <v>6</v>
      </c>
      <c r="K17" s="156">
        <f>SUMIFS($AL$112:$AL$141,$A$112:$A$141,"="&amp;DATE(2026,2,K13))</f>
        <v>6</v>
      </c>
      <c r="L17" s="156">
        <f>SUMIFS($AL$112:$AL$141,$A$112:$A$141,"="&amp;DATE(2026,2,L13))</f>
        <v>6</v>
      </c>
      <c r="M17" s="156">
        <f>SUMIFS($AL$112:$AL$141,$A$112:$A$141,"="&amp;DATE(2026,2,M13))</f>
        <v>6</v>
      </c>
      <c r="N17" s="156" t="s">
        <v>5</v>
      </c>
      <c r="O17" s="82"/>
      <c r="P17" s="82"/>
      <c r="Q17" s="156" t="s">
        <v>5</v>
      </c>
      <c r="R17" s="156">
        <f>SUMIFS($AL$112:$AL$141,$A$112:$A$141,"="&amp;DATE(2026,2,R13))</f>
        <v>6</v>
      </c>
      <c r="S17" s="156">
        <f>SUMIFS($AL$112:$AL$141,$A$112:$A$141,"="&amp;DATE(2026,2,S13))</f>
        <v>6</v>
      </c>
      <c r="T17" s="156">
        <f>SUMIFS($AL$112:$AL$141,$A$112:$A$141,"="&amp;DATE(2026,2,T13))</f>
        <v>6</v>
      </c>
      <c r="U17" s="156">
        <f>SUMIFS($AL$112:$AL$141,$A$112:$A$141,"="&amp;DATE(2026,2,U13))</f>
        <v>6</v>
      </c>
      <c r="V17" s="82"/>
      <c r="W17" s="82"/>
      <c r="X17" s="156">
        <f>SUMIFS($AL$112:$AL$141,$A$112:$A$141,"="&amp;DATE(2026,2,X13))</f>
        <v>2</v>
      </c>
      <c r="Y17" s="156">
        <f>SUMIFS($AL$112:$AL$141,$A$112:$A$141,"="&amp;DATE(2026,2,Y13))</f>
        <v>6</v>
      </c>
      <c r="Z17" s="156">
        <f>SUMIFS($AL$112:$AL$141,$A$112:$A$141,"="&amp;DATE(2026,2,Z13))</f>
        <v>8</v>
      </c>
      <c r="AA17" s="156">
        <f>SUMIFS($AL$112:$AL$141,$A$112:$A$141,"="&amp;DATE(2026,2,AA13))</f>
        <v>8</v>
      </c>
      <c r="AB17" s="156">
        <f>SUMIFS($AL$112:$AL$141,$A$112:$A$141,"="&amp;DATE(2026,2,AB13))</f>
        <v>6</v>
      </c>
      <c r="AC17" s="82"/>
      <c r="AD17" s="219"/>
      <c r="AE17" s="219"/>
      <c r="AF17" s="220"/>
      <c r="AG17" s="90">
        <f>SUM(B17:AF17)+COUNTIF(B17:AF17, "DE")*8</f>
        <v>108</v>
      </c>
      <c r="AH17" s="91">
        <f>AG17/8</f>
        <v>13.5</v>
      </c>
      <c r="AI17" s="91">
        <f>COUNTIF(B17:AF17,"CO")*6</f>
        <v>12</v>
      </c>
      <c r="AJ17" s="91">
        <f>AI17/8</f>
        <v>1.5</v>
      </c>
      <c r="AK17" s="91">
        <f>COUNTIF(B17:AF17, "CM")*8</f>
        <v>0</v>
      </c>
      <c r="AL17" s="313">
        <f>AK17/8</f>
        <v>0</v>
      </c>
      <c r="AM17" s="53"/>
    </row>
    <row r="18" spans="1:39" ht="17.25" customHeight="1" thickBot="1" x14ac:dyDescent="0.35">
      <c r="A18" s="54" t="s">
        <v>30</v>
      </c>
      <c r="B18" s="121"/>
      <c r="C18" s="122">
        <f>SUM(C15:C17)</f>
        <v>8</v>
      </c>
      <c r="D18" s="122">
        <f>SUM(D15:D17)</f>
        <v>8</v>
      </c>
      <c r="E18" s="122">
        <f>SUM(E15:E17)</f>
        <v>8</v>
      </c>
      <c r="F18" s="122">
        <f>SUM(F15:F17)</f>
        <v>8</v>
      </c>
      <c r="G18" s="122">
        <f>SUM(G15:G17)</f>
        <v>8</v>
      </c>
      <c r="H18" s="121"/>
      <c r="I18" s="121"/>
      <c r="J18" s="122">
        <f>SUM(J15:J17)</f>
        <v>8</v>
      </c>
      <c r="K18" s="122">
        <f>SUM(K15:K17)</f>
        <v>8</v>
      </c>
      <c r="L18" s="122">
        <f>SUM(L15:L17)</f>
        <v>8</v>
      </c>
      <c r="M18" s="122">
        <f>SUM(M15:M17)</f>
        <v>8</v>
      </c>
      <c r="N18" s="122">
        <f>SUM(N15:N17)</f>
        <v>0</v>
      </c>
      <c r="O18" s="121"/>
      <c r="P18" s="121"/>
      <c r="Q18" s="122">
        <f>SUM(Q15:Q17)</f>
        <v>0</v>
      </c>
      <c r="R18" s="122">
        <f>SUM(R15:R17)</f>
        <v>8</v>
      </c>
      <c r="S18" s="122">
        <f>SUM(S15:S17)</f>
        <v>8</v>
      </c>
      <c r="T18" s="122">
        <f>SUM(T15:T17)</f>
        <v>8</v>
      </c>
      <c r="U18" s="122">
        <f>SUM(U15:U17)</f>
        <v>8</v>
      </c>
      <c r="V18" s="121"/>
      <c r="W18" s="121"/>
      <c r="X18" s="122">
        <f>SUM(X15:X17)</f>
        <v>8</v>
      </c>
      <c r="Y18" s="122">
        <f>SUM(Y15:Y17)</f>
        <v>8</v>
      </c>
      <c r="Z18" s="122">
        <f>SUM(Z15:Z17)</f>
        <v>8</v>
      </c>
      <c r="AA18" s="122">
        <f>SUM(AA15:AA17)</f>
        <v>8</v>
      </c>
      <c r="AB18" s="122">
        <f>SUM(AB15:AB17)</f>
        <v>8</v>
      </c>
      <c r="AC18" s="121"/>
      <c r="AD18" s="221"/>
      <c r="AE18" s="221"/>
      <c r="AF18" s="222"/>
      <c r="AG18" s="93">
        <f t="shared" ref="AG18:AL18" si="0">SUM(AG15:AG17)</f>
        <v>144</v>
      </c>
      <c r="AH18" s="94">
        <f t="shared" si="0"/>
        <v>18</v>
      </c>
      <c r="AI18" s="94">
        <f t="shared" si="0"/>
        <v>16</v>
      </c>
      <c r="AJ18" s="94">
        <f t="shared" si="0"/>
        <v>2</v>
      </c>
      <c r="AK18" s="94">
        <f t="shared" si="0"/>
        <v>0</v>
      </c>
      <c r="AL18" s="314">
        <f t="shared" si="0"/>
        <v>0</v>
      </c>
      <c r="AM18" s="53"/>
    </row>
    <row r="20" spans="1:39" x14ac:dyDescent="0.3">
      <c r="A20" s="5"/>
      <c r="I20" s="522" t="s">
        <v>31</v>
      </c>
      <c r="J20" s="522"/>
      <c r="K20" s="522"/>
      <c r="L20" s="522"/>
      <c r="M20" s="522"/>
      <c r="N20" s="522"/>
      <c r="O20" s="522"/>
      <c r="P20" s="545" t="s">
        <v>32</v>
      </c>
      <c r="Q20" s="545"/>
      <c r="R20" s="545"/>
      <c r="S20" s="545"/>
      <c r="T20" s="545"/>
      <c r="U20" s="545"/>
      <c r="V20" s="545"/>
    </row>
    <row r="22" spans="1:39" x14ac:dyDescent="0.3">
      <c r="I22" s="544" t="s">
        <v>33</v>
      </c>
      <c r="J22" s="544"/>
      <c r="K22" s="544"/>
      <c r="L22" s="544"/>
      <c r="M22" s="544"/>
      <c r="N22" s="544"/>
      <c r="O22" s="544"/>
      <c r="P22" s="545"/>
      <c r="Q22" s="545"/>
      <c r="R22" s="545"/>
      <c r="S22" s="545"/>
      <c r="T22" s="545"/>
      <c r="U22" s="545"/>
      <c r="V22" s="545"/>
    </row>
    <row r="23" spans="1:39" x14ac:dyDescent="0.3">
      <c r="I23" s="5"/>
      <c r="J23" s="5"/>
      <c r="K23" s="5"/>
      <c r="L23" s="5"/>
      <c r="M23" s="5"/>
      <c r="N23" s="5"/>
      <c r="O23" s="5"/>
    </row>
    <row r="24" spans="1:39" x14ac:dyDescent="0.3">
      <c r="I24" s="5"/>
      <c r="J24" s="5"/>
      <c r="K24" s="5"/>
      <c r="L24" s="5"/>
      <c r="M24" s="5"/>
      <c r="N24" s="5"/>
      <c r="O24" s="5"/>
    </row>
    <row r="25" spans="1:39" x14ac:dyDescent="0.3">
      <c r="I25" s="522" t="s">
        <v>34</v>
      </c>
      <c r="J25" s="522"/>
      <c r="K25" s="522"/>
      <c r="L25" s="522"/>
      <c r="M25" s="522"/>
      <c r="N25" s="522"/>
      <c r="O25" s="522"/>
      <c r="P25" s="545" t="s">
        <v>32</v>
      </c>
      <c r="Q25" s="545"/>
      <c r="R25" s="545"/>
      <c r="S25" s="545"/>
      <c r="T25" s="545"/>
      <c r="U25" s="545"/>
      <c r="V25" s="545"/>
    </row>
    <row r="26" spans="1:39" x14ac:dyDescent="0.3">
      <c r="I26" s="544" t="s">
        <v>35</v>
      </c>
      <c r="J26" s="544"/>
      <c r="K26" s="544"/>
      <c r="L26" s="544"/>
      <c r="M26" s="544"/>
      <c r="N26" s="544"/>
      <c r="O26" s="544"/>
      <c r="P26" s="545"/>
      <c r="Q26" s="545"/>
      <c r="R26" s="545"/>
      <c r="S26" s="545"/>
      <c r="T26" s="545"/>
      <c r="U26" s="545"/>
      <c r="V26" s="545"/>
    </row>
    <row r="27" spans="1:39" x14ac:dyDescent="0.3">
      <c r="I27" s="544" t="s">
        <v>36</v>
      </c>
      <c r="J27" s="544"/>
      <c r="K27" s="544"/>
      <c r="L27" s="544"/>
      <c r="M27" s="544"/>
      <c r="N27" s="544"/>
      <c r="O27" s="544"/>
      <c r="P27" s="545"/>
      <c r="Q27" s="545"/>
      <c r="R27" s="545"/>
      <c r="S27" s="545"/>
      <c r="T27" s="545"/>
      <c r="U27" s="545"/>
      <c r="V27" s="545"/>
    </row>
    <row r="28" spans="1:39" x14ac:dyDescent="0.3">
      <c r="I28" s="544" t="s">
        <v>33</v>
      </c>
      <c r="J28" s="544"/>
      <c r="K28" s="544"/>
      <c r="L28" s="544"/>
      <c r="M28" s="544"/>
      <c r="N28" s="544"/>
      <c r="O28" s="544"/>
      <c r="P28" s="545"/>
      <c r="Q28" s="545"/>
      <c r="R28" s="545"/>
      <c r="S28" s="545"/>
      <c r="T28" s="545"/>
      <c r="U28" s="545"/>
      <c r="V28" s="545"/>
    </row>
    <row r="29" spans="1:39" x14ac:dyDescent="0.3"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</row>
    <row r="30" spans="1:39" x14ac:dyDescent="0.3"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  <c r="V30" s="5"/>
    </row>
    <row r="31" spans="1:39" x14ac:dyDescent="0.3"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</row>
    <row r="32" spans="1:39" ht="13.5" thickBot="1" x14ac:dyDescent="0.35"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  <c r="V32" s="5"/>
    </row>
    <row r="33" spans="1:48" ht="15" thickBot="1" x14ac:dyDescent="0.4">
      <c r="A33" s="546" t="s">
        <v>37</v>
      </c>
      <c r="B33" s="547"/>
      <c r="C33" s="547"/>
      <c r="D33" s="547"/>
      <c r="E33" s="547"/>
      <c r="F33" s="547"/>
      <c r="G33" s="547"/>
      <c r="H33" s="547"/>
      <c r="I33" s="547"/>
      <c r="J33" s="547"/>
      <c r="K33" s="548"/>
      <c r="R33" s="549" t="s">
        <v>38</v>
      </c>
      <c r="S33" s="550"/>
      <c r="T33" s="550"/>
      <c r="U33" s="550"/>
      <c r="V33" s="550"/>
      <c r="W33" s="550"/>
      <c r="X33" s="550"/>
      <c r="Y33" s="551"/>
    </row>
    <row r="34" spans="1:48" ht="14.5" x14ac:dyDescent="0.35">
      <c r="A34" s="552" t="s">
        <v>39</v>
      </c>
      <c r="B34" s="553"/>
      <c r="C34" s="553"/>
      <c r="D34" s="553"/>
      <c r="E34" s="553"/>
      <c r="F34" s="553"/>
      <c r="G34" s="553"/>
      <c r="H34" s="553"/>
      <c r="I34" s="553"/>
      <c r="J34" s="553"/>
      <c r="K34" s="554"/>
      <c r="L34" s="55"/>
      <c r="M34" s="55"/>
      <c r="N34" s="55"/>
    </row>
    <row r="35" spans="1:48" ht="15" thickBot="1" x14ac:dyDescent="0.4">
      <c r="A35" s="555" t="s">
        <v>119</v>
      </c>
      <c r="B35" s="556"/>
      <c r="C35" s="556"/>
      <c r="D35" s="556"/>
      <c r="E35" s="556"/>
      <c r="F35" s="556"/>
      <c r="G35" s="556"/>
      <c r="H35" s="556"/>
      <c r="I35" s="556"/>
      <c r="J35" s="556"/>
      <c r="K35" s="557"/>
    </row>
    <row r="36" spans="1:48" ht="13.5" thickBot="1" x14ac:dyDescent="0.35"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5"/>
      <c r="U36" s="5"/>
      <c r="V36" s="5"/>
    </row>
    <row r="37" spans="1:48" s="9" customFormat="1" ht="15" thickBot="1" x14ac:dyDescent="0.4">
      <c r="A37" s="56" t="s">
        <v>41</v>
      </c>
      <c r="B37" s="541" t="s">
        <v>42</v>
      </c>
      <c r="C37" s="541"/>
      <c r="D37" s="541" t="s">
        <v>43</v>
      </c>
      <c r="E37" s="541"/>
      <c r="F37" s="541" t="s">
        <v>44</v>
      </c>
      <c r="G37" s="541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41"/>
      <c r="T37" s="541"/>
      <c r="U37" s="541"/>
      <c r="V37" s="541"/>
      <c r="W37" s="541"/>
      <c r="X37" s="541"/>
      <c r="Y37" s="541"/>
      <c r="Z37" s="541"/>
      <c r="AA37" s="541"/>
      <c r="AB37" s="541"/>
      <c r="AC37" s="541"/>
      <c r="AD37" s="541"/>
      <c r="AE37" s="541"/>
      <c r="AF37" s="541"/>
      <c r="AG37" s="541" t="s">
        <v>45</v>
      </c>
      <c r="AH37" s="541"/>
      <c r="AI37" s="541"/>
      <c r="AJ37" s="541"/>
      <c r="AK37" s="541"/>
      <c r="AL37" s="542"/>
      <c r="AV37" s="69"/>
    </row>
    <row r="38" spans="1:48" x14ac:dyDescent="0.3">
      <c r="A38" s="60">
        <v>46054</v>
      </c>
      <c r="B38" s="61"/>
      <c r="C38" s="13"/>
      <c r="D38" s="62"/>
      <c r="E38" s="14"/>
      <c r="F38" s="654"/>
      <c r="G38" s="654"/>
      <c r="H38" s="654"/>
      <c r="I38" s="654"/>
      <c r="J38" s="654"/>
      <c r="K38" s="654"/>
      <c r="L38" s="654"/>
      <c r="M38" s="654"/>
      <c r="N38" s="654"/>
      <c r="O38" s="654"/>
      <c r="P38" s="654"/>
      <c r="Q38" s="654"/>
      <c r="R38" s="654"/>
      <c r="S38" s="654"/>
      <c r="T38" s="654"/>
      <c r="U38" s="654"/>
      <c r="V38" s="654"/>
      <c r="W38" s="654"/>
      <c r="X38" s="654"/>
      <c r="Y38" s="654"/>
      <c r="Z38" s="654"/>
      <c r="AA38" s="654"/>
      <c r="AB38" s="654"/>
      <c r="AC38" s="654"/>
      <c r="AD38" s="654"/>
      <c r="AE38" s="654"/>
      <c r="AF38" s="654"/>
      <c r="AG38" s="537"/>
      <c r="AH38" s="537"/>
      <c r="AI38" s="537"/>
      <c r="AJ38" s="537"/>
      <c r="AK38" s="537"/>
      <c r="AL38" s="538"/>
      <c r="AM38" s="27"/>
    </row>
    <row r="39" spans="1:48" x14ac:dyDescent="0.3">
      <c r="A39" s="162">
        <v>46055</v>
      </c>
      <c r="B39" s="163"/>
      <c r="C39" s="164" t="s">
        <v>48</v>
      </c>
      <c r="D39" s="165"/>
      <c r="E39" s="166">
        <v>2</v>
      </c>
      <c r="F39" s="529" t="s">
        <v>120</v>
      </c>
      <c r="G39" s="529"/>
      <c r="H39" s="529"/>
      <c r="I39" s="529"/>
      <c r="J39" s="529"/>
      <c r="K39" s="529"/>
      <c r="L39" s="529"/>
      <c r="M39" s="529"/>
      <c r="N39" s="529"/>
      <c r="O39" s="529"/>
      <c r="P39" s="529"/>
      <c r="Q39" s="529"/>
      <c r="R39" s="529"/>
      <c r="S39" s="529"/>
      <c r="T39" s="529"/>
      <c r="U39" s="529"/>
      <c r="V39" s="529"/>
      <c r="W39" s="529"/>
      <c r="X39" s="529"/>
      <c r="Y39" s="529"/>
      <c r="Z39" s="529"/>
      <c r="AA39" s="529"/>
      <c r="AB39" s="529"/>
      <c r="AC39" s="529"/>
      <c r="AD39" s="529"/>
      <c r="AE39" s="529"/>
      <c r="AF39" s="529"/>
      <c r="AG39" s="529"/>
      <c r="AH39" s="529"/>
      <c r="AI39" s="529"/>
      <c r="AJ39" s="529"/>
      <c r="AK39" s="529"/>
      <c r="AL39" s="530"/>
      <c r="AM39" s="27"/>
    </row>
    <row r="40" spans="1:48" x14ac:dyDescent="0.3">
      <c r="A40" s="162">
        <v>46056</v>
      </c>
      <c r="B40" s="163"/>
      <c r="C40" s="164" t="s">
        <v>48</v>
      </c>
      <c r="D40" s="165"/>
      <c r="E40" s="166">
        <v>2</v>
      </c>
      <c r="F40" s="529" t="s">
        <v>121</v>
      </c>
      <c r="G40" s="529"/>
      <c r="H40" s="529"/>
      <c r="I40" s="529"/>
      <c r="J40" s="529"/>
      <c r="K40" s="529"/>
      <c r="L40" s="529"/>
      <c r="M40" s="529"/>
      <c r="N40" s="529"/>
      <c r="O40" s="529"/>
      <c r="P40" s="529"/>
      <c r="Q40" s="529"/>
      <c r="R40" s="529"/>
      <c r="S40" s="529"/>
      <c r="T40" s="529"/>
      <c r="U40" s="529"/>
      <c r="V40" s="529"/>
      <c r="W40" s="529"/>
      <c r="X40" s="529"/>
      <c r="Y40" s="529"/>
      <c r="Z40" s="529"/>
      <c r="AA40" s="529"/>
      <c r="AB40" s="529"/>
      <c r="AC40" s="529"/>
      <c r="AD40" s="529"/>
      <c r="AE40" s="529"/>
      <c r="AF40" s="529"/>
      <c r="AG40" s="529"/>
      <c r="AH40" s="529"/>
      <c r="AI40" s="529"/>
      <c r="AJ40" s="529"/>
      <c r="AK40" s="529"/>
      <c r="AL40" s="530"/>
      <c r="AM40" s="27"/>
    </row>
    <row r="41" spans="1:48" s="55" customFormat="1" x14ac:dyDescent="0.3">
      <c r="A41" s="162">
        <v>46057</v>
      </c>
      <c r="B41" s="163"/>
      <c r="C41" s="164" t="s">
        <v>48</v>
      </c>
      <c r="D41" s="165"/>
      <c r="E41" s="166">
        <v>2</v>
      </c>
      <c r="F41" s="529" t="s">
        <v>121</v>
      </c>
      <c r="G41" s="529"/>
      <c r="H41" s="529"/>
      <c r="I41" s="529"/>
      <c r="J41" s="529"/>
      <c r="K41" s="529"/>
      <c r="L41" s="529"/>
      <c r="M41" s="529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30"/>
      <c r="AM41" s="27"/>
      <c r="AO41" s="123"/>
      <c r="AP41" s="123"/>
    </row>
    <row r="42" spans="1:48" s="55" customFormat="1" x14ac:dyDescent="0.3">
      <c r="A42" s="162">
        <v>46058</v>
      </c>
      <c r="B42" s="163"/>
      <c r="C42" s="164" t="s">
        <v>48</v>
      </c>
      <c r="D42" s="165"/>
      <c r="E42" s="166">
        <v>2</v>
      </c>
      <c r="F42" s="529" t="s">
        <v>121</v>
      </c>
      <c r="G42" s="529"/>
      <c r="H42" s="529"/>
      <c r="I42" s="529"/>
      <c r="J42" s="529"/>
      <c r="K42" s="529"/>
      <c r="L42" s="529"/>
      <c r="M42" s="529"/>
      <c r="N42" s="529"/>
      <c r="O42" s="529"/>
      <c r="P42" s="529"/>
      <c r="Q42" s="529"/>
      <c r="R42" s="529"/>
      <c r="S42" s="529"/>
      <c r="T42" s="529"/>
      <c r="U42" s="529"/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30"/>
      <c r="AM42" s="27"/>
      <c r="AO42" s="123"/>
      <c r="AP42" s="123"/>
    </row>
    <row r="43" spans="1:48" s="55" customFormat="1" x14ac:dyDescent="0.3">
      <c r="A43" s="162">
        <v>46059</v>
      </c>
      <c r="B43" s="163"/>
      <c r="C43" s="164" t="s">
        <v>48</v>
      </c>
      <c r="D43" s="165"/>
      <c r="E43" s="166">
        <v>2</v>
      </c>
      <c r="F43" s="529" t="s">
        <v>121</v>
      </c>
      <c r="G43" s="529"/>
      <c r="H43" s="529"/>
      <c r="I43" s="529"/>
      <c r="J43" s="529"/>
      <c r="K43" s="529"/>
      <c r="L43" s="529"/>
      <c r="M43" s="529"/>
      <c r="N43" s="529"/>
      <c r="O43" s="529"/>
      <c r="P43" s="529"/>
      <c r="Q43" s="529"/>
      <c r="R43" s="529"/>
      <c r="S43" s="529"/>
      <c r="T43" s="529"/>
      <c r="U43" s="529"/>
      <c r="V43" s="529"/>
      <c r="W43" s="529"/>
      <c r="X43" s="529"/>
      <c r="Y43" s="529"/>
      <c r="Z43" s="529"/>
      <c r="AA43" s="529"/>
      <c r="AB43" s="529"/>
      <c r="AC43" s="529"/>
      <c r="AD43" s="529"/>
      <c r="AE43" s="529"/>
      <c r="AF43" s="529"/>
      <c r="AG43" s="529"/>
      <c r="AH43" s="529"/>
      <c r="AI43" s="529"/>
      <c r="AJ43" s="529"/>
      <c r="AK43" s="529"/>
      <c r="AL43" s="530"/>
      <c r="AM43" s="27"/>
      <c r="AO43" s="123"/>
      <c r="AP43" s="123"/>
    </row>
    <row r="44" spans="1:48" s="55" customFormat="1" x14ac:dyDescent="0.3">
      <c r="A44" s="60">
        <v>46060</v>
      </c>
      <c r="B44" s="61"/>
      <c r="C44" s="13"/>
      <c r="D44" s="62"/>
      <c r="E44" s="14"/>
      <c r="F44" s="537"/>
      <c r="G44" s="537"/>
      <c r="H44" s="537"/>
      <c r="I44" s="537"/>
      <c r="J44" s="537"/>
      <c r="K44" s="537"/>
      <c r="L44" s="537"/>
      <c r="M44" s="537"/>
      <c r="N44" s="537"/>
      <c r="O44" s="537"/>
      <c r="P44" s="537"/>
      <c r="Q44" s="537"/>
      <c r="R44" s="537"/>
      <c r="S44" s="537"/>
      <c r="T44" s="537"/>
      <c r="U44" s="537"/>
      <c r="V44" s="537"/>
      <c r="W44" s="537"/>
      <c r="X44" s="537"/>
      <c r="Y44" s="537"/>
      <c r="Z44" s="537"/>
      <c r="AA44" s="537"/>
      <c r="AB44" s="537"/>
      <c r="AC44" s="537"/>
      <c r="AD44" s="537"/>
      <c r="AE44" s="537"/>
      <c r="AF44" s="537"/>
      <c r="AG44" s="537"/>
      <c r="AH44" s="537"/>
      <c r="AI44" s="537"/>
      <c r="AJ44" s="537"/>
      <c r="AK44" s="537"/>
      <c r="AL44" s="538"/>
      <c r="AM44" s="27"/>
      <c r="AO44" s="123"/>
      <c r="AP44" s="123"/>
    </row>
    <row r="45" spans="1:48" s="55" customFormat="1" x14ac:dyDescent="0.3">
      <c r="A45" s="60">
        <v>46061</v>
      </c>
      <c r="B45" s="61"/>
      <c r="C45" s="13"/>
      <c r="D45" s="62"/>
      <c r="E45" s="14"/>
      <c r="F45" s="53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537"/>
      <c r="S45" s="537"/>
      <c r="T45" s="537"/>
      <c r="U45" s="537"/>
      <c r="V45" s="537"/>
      <c r="W45" s="537"/>
      <c r="X45" s="537"/>
      <c r="Y45" s="537"/>
      <c r="Z45" s="537"/>
      <c r="AA45" s="537"/>
      <c r="AB45" s="537"/>
      <c r="AC45" s="537"/>
      <c r="AD45" s="537"/>
      <c r="AE45" s="537"/>
      <c r="AF45" s="537"/>
      <c r="AG45" s="537"/>
      <c r="AH45" s="537"/>
      <c r="AI45" s="537"/>
      <c r="AJ45" s="537"/>
      <c r="AK45" s="537"/>
      <c r="AL45" s="538"/>
      <c r="AM45" s="27"/>
      <c r="AO45" s="123"/>
      <c r="AP45" s="123"/>
    </row>
    <row r="46" spans="1:48" s="55" customFormat="1" x14ac:dyDescent="0.3">
      <c r="A46" s="162">
        <v>46062</v>
      </c>
      <c r="B46" s="163"/>
      <c r="C46" s="164" t="s">
        <v>48</v>
      </c>
      <c r="D46" s="165"/>
      <c r="E46" s="166">
        <v>2</v>
      </c>
      <c r="F46" s="529" t="s">
        <v>121</v>
      </c>
      <c r="G46" s="529"/>
      <c r="H46" s="529"/>
      <c r="I46" s="529"/>
      <c r="J46" s="529"/>
      <c r="K46" s="529"/>
      <c r="L46" s="529"/>
      <c r="M46" s="529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30"/>
      <c r="AM46" s="27"/>
      <c r="AO46" s="123"/>
      <c r="AP46" s="123"/>
    </row>
    <row r="47" spans="1:48" s="55" customFormat="1" x14ac:dyDescent="0.3">
      <c r="A47" s="162">
        <v>46063</v>
      </c>
      <c r="B47" s="163"/>
      <c r="C47" s="164" t="s">
        <v>48</v>
      </c>
      <c r="D47" s="165"/>
      <c r="E47" s="166">
        <v>2</v>
      </c>
      <c r="F47" s="529" t="s">
        <v>121</v>
      </c>
      <c r="G47" s="529"/>
      <c r="H47" s="529"/>
      <c r="I47" s="529"/>
      <c r="J47" s="529"/>
      <c r="K47" s="529"/>
      <c r="L47" s="529"/>
      <c r="M47" s="529"/>
      <c r="N47" s="529"/>
      <c r="O47" s="529"/>
      <c r="P47" s="529"/>
      <c r="Q47" s="529"/>
      <c r="R47" s="529"/>
      <c r="S47" s="529"/>
      <c r="T47" s="529"/>
      <c r="U47" s="529"/>
      <c r="V47" s="529"/>
      <c r="W47" s="529"/>
      <c r="X47" s="529"/>
      <c r="Y47" s="529"/>
      <c r="Z47" s="529"/>
      <c r="AA47" s="529"/>
      <c r="AB47" s="529"/>
      <c r="AC47" s="529"/>
      <c r="AD47" s="529"/>
      <c r="AE47" s="529"/>
      <c r="AF47" s="529"/>
      <c r="AG47" s="529"/>
      <c r="AH47" s="529"/>
      <c r="AI47" s="529"/>
      <c r="AJ47" s="529"/>
      <c r="AK47" s="529"/>
      <c r="AL47" s="530"/>
      <c r="AM47" s="27"/>
      <c r="AO47" s="123"/>
      <c r="AP47" s="123"/>
    </row>
    <row r="48" spans="1:48" s="55" customFormat="1" x14ac:dyDescent="0.3">
      <c r="A48" s="162">
        <v>46064</v>
      </c>
      <c r="B48" s="163"/>
      <c r="C48" s="164" t="s">
        <v>48</v>
      </c>
      <c r="D48" s="165"/>
      <c r="E48" s="166">
        <v>2</v>
      </c>
      <c r="F48" s="529" t="s">
        <v>121</v>
      </c>
      <c r="G48" s="529"/>
      <c r="H48" s="529"/>
      <c r="I48" s="529"/>
      <c r="J48" s="529"/>
      <c r="K48" s="529"/>
      <c r="L48" s="529"/>
      <c r="M48" s="529"/>
      <c r="N48" s="529"/>
      <c r="O48" s="529"/>
      <c r="P48" s="529"/>
      <c r="Q48" s="529"/>
      <c r="R48" s="529"/>
      <c r="S48" s="529"/>
      <c r="T48" s="529"/>
      <c r="U48" s="529"/>
      <c r="V48" s="529"/>
      <c r="W48" s="529"/>
      <c r="X48" s="529"/>
      <c r="Y48" s="529"/>
      <c r="Z48" s="529"/>
      <c r="AA48" s="529"/>
      <c r="AB48" s="529"/>
      <c r="AC48" s="529"/>
      <c r="AD48" s="529"/>
      <c r="AE48" s="529"/>
      <c r="AF48" s="529"/>
      <c r="AG48" s="529"/>
      <c r="AH48" s="529"/>
      <c r="AI48" s="529"/>
      <c r="AJ48" s="529"/>
      <c r="AK48" s="529"/>
      <c r="AL48" s="530"/>
      <c r="AM48" s="27"/>
      <c r="AO48" s="123"/>
      <c r="AP48" s="123"/>
    </row>
    <row r="49" spans="1:42" s="55" customFormat="1" x14ac:dyDescent="0.3">
      <c r="A49" s="162">
        <v>46065</v>
      </c>
      <c r="B49" s="163"/>
      <c r="C49" s="164" t="s">
        <v>48</v>
      </c>
      <c r="D49" s="165"/>
      <c r="E49" s="166">
        <v>2</v>
      </c>
      <c r="F49" s="529" t="s">
        <v>121</v>
      </c>
      <c r="G49" s="529"/>
      <c r="H49" s="529"/>
      <c r="I49" s="529"/>
      <c r="J49" s="529"/>
      <c r="K49" s="529"/>
      <c r="L49" s="529"/>
      <c r="M49" s="529"/>
      <c r="N49" s="529"/>
      <c r="O49" s="529"/>
      <c r="P49" s="529"/>
      <c r="Q49" s="529"/>
      <c r="R49" s="529"/>
      <c r="S49" s="529"/>
      <c r="T49" s="529"/>
      <c r="U49" s="529"/>
      <c r="V49" s="529"/>
      <c r="W49" s="529"/>
      <c r="X49" s="529"/>
      <c r="Y49" s="529"/>
      <c r="Z49" s="529"/>
      <c r="AA49" s="529"/>
      <c r="AB49" s="529"/>
      <c r="AC49" s="529"/>
      <c r="AD49" s="529"/>
      <c r="AE49" s="529"/>
      <c r="AF49" s="529"/>
      <c r="AG49" s="529"/>
      <c r="AH49" s="529"/>
      <c r="AI49" s="529"/>
      <c r="AJ49" s="529"/>
      <c r="AK49" s="529"/>
      <c r="AL49" s="530"/>
      <c r="AM49" s="27"/>
      <c r="AO49" s="123"/>
      <c r="AP49" s="123"/>
    </row>
    <row r="50" spans="1:42" s="55" customFormat="1" x14ac:dyDescent="0.3">
      <c r="A50" s="162">
        <v>46066</v>
      </c>
      <c r="B50" s="163"/>
      <c r="C50" s="164"/>
      <c r="D50" s="165"/>
      <c r="E50" s="166"/>
      <c r="F50" s="529" t="s">
        <v>5</v>
      </c>
      <c r="G50" s="529"/>
      <c r="H50" s="529"/>
      <c r="I50" s="529"/>
      <c r="J50" s="529"/>
      <c r="K50" s="529"/>
      <c r="L50" s="529"/>
      <c r="M50" s="529"/>
      <c r="N50" s="529"/>
      <c r="O50" s="529"/>
      <c r="P50" s="529"/>
      <c r="Q50" s="529"/>
      <c r="R50" s="529"/>
      <c r="S50" s="529"/>
      <c r="T50" s="529"/>
      <c r="U50" s="529"/>
      <c r="V50" s="529"/>
      <c r="W50" s="529"/>
      <c r="X50" s="529"/>
      <c r="Y50" s="529"/>
      <c r="Z50" s="529"/>
      <c r="AA50" s="529"/>
      <c r="AB50" s="529"/>
      <c r="AC50" s="529"/>
      <c r="AD50" s="529"/>
      <c r="AE50" s="529"/>
      <c r="AF50" s="529"/>
      <c r="AG50" s="529"/>
      <c r="AH50" s="529"/>
      <c r="AI50" s="529"/>
      <c r="AJ50" s="529"/>
      <c r="AK50" s="529"/>
      <c r="AL50" s="530"/>
      <c r="AM50" s="27"/>
      <c r="AO50" s="123"/>
      <c r="AP50" s="123"/>
    </row>
    <row r="51" spans="1:42" s="55" customFormat="1" x14ac:dyDescent="0.3">
      <c r="A51" s="60">
        <v>46067</v>
      </c>
      <c r="B51" s="61"/>
      <c r="C51" s="13"/>
      <c r="D51" s="62"/>
      <c r="E51" s="14"/>
      <c r="F51" s="537"/>
      <c r="G51" s="537"/>
      <c r="H51" s="537"/>
      <c r="I51" s="537"/>
      <c r="J51" s="537"/>
      <c r="K51" s="537"/>
      <c r="L51" s="537"/>
      <c r="M51" s="537"/>
      <c r="N51" s="537"/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  <c r="Z51" s="537"/>
      <c r="AA51" s="537"/>
      <c r="AB51" s="537"/>
      <c r="AC51" s="537"/>
      <c r="AD51" s="537"/>
      <c r="AE51" s="537"/>
      <c r="AF51" s="537"/>
      <c r="AG51" s="537"/>
      <c r="AH51" s="537"/>
      <c r="AI51" s="537"/>
      <c r="AJ51" s="537"/>
      <c r="AK51" s="537"/>
      <c r="AL51" s="538"/>
      <c r="AM51" s="27"/>
      <c r="AO51" s="123"/>
      <c r="AP51" s="123"/>
    </row>
    <row r="52" spans="1:42" s="55" customFormat="1" x14ac:dyDescent="0.3">
      <c r="A52" s="60">
        <v>46068</v>
      </c>
      <c r="B52" s="61"/>
      <c r="C52" s="13"/>
      <c r="D52" s="62"/>
      <c r="E52" s="14"/>
      <c r="F52" s="537"/>
      <c r="G52" s="537"/>
      <c r="H52" s="537"/>
      <c r="I52" s="537"/>
      <c r="J52" s="537"/>
      <c r="K52" s="537"/>
      <c r="L52" s="537"/>
      <c r="M52" s="537"/>
      <c r="N52" s="537"/>
      <c r="O52" s="537"/>
      <c r="P52" s="537"/>
      <c r="Q52" s="537"/>
      <c r="R52" s="537"/>
      <c r="S52" s="537"/>
      <c r="T52" s="537"/>
      <c r="U52" s="537"/>
      <c r="V52" s="537"/>
      <c r="W52" s="537"/>
      <c r="X52" s="537"/>
      <c r="Y52" s="537"/>
      <c r="Z52" s="537"/>
      <c r="AA52" s="537"/>
      <c r="AB52" s="537"/>
      <c r="AC52" s="537"/>
      <c r="AD52" s="537"/>
      <c r="AE52" s="537"/>
      <c r="AF52" s="537"/>
      <c r="AG52" s="537"/>
      <c r="AH52" s="537"/>
      <c r="AI52" s="537"/>
      <c r="AJ52" s="537"/>
      <c r="AK52" s="537"/>
      <c r="AL52" s="538"/>
      <c r="AM52" s="27"/>
      <c r="AO52" s="123"/>
      <c r="AP52" s="123"/>
    </row>
    <row r="53" spans="1:42" s="55" customFormat="1" x14ac:dyDescent="0.3">
      <c r="A53" s="162">
        <v>46069</v>
      </c>
      <c r="B53" s="163"/>
      <c r="C53" s="164"/>
      <c r="D53" s="165"/>
      <c r="E53" s="166"/>
      <c r="F53" s="529" t="s">
        <v>5</v>
      </c>
      <c r="G53" s="529"/>
      <c r="H53" s="529"/>
      <c r="I53" s="529"/>
      <c r="J53" s="529"/>
      <c r="K53" s="529"/>
      <c r="L53" s="529"/>
      <c r="M53" s="529"/>
      <c r="N53" s="529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529"/>
      <c r="AH53" s="529"/>
      <c r="AI53" s="529"/>
      <c r="AJ53" s="529"/>
      <c r="AK53" s="529"/>
      <c r="AL53" s="530"/>
      <c r="AM53" s="27"/>
      <c r="AO53" s="123"/>
      <c r="AP53" s="123"/>
    </row>
    <row r="54" spans="1:42" s="55" customFormat="1" x14ac:dyDescent="0.3">
      <c r="A54" s="162">
        <v>46070</v>
      </c>
      <c r="B54" s="163"/>
      <c r="C54" s="164" t="s">
        <v>48</v>
      </c>
      <c r="D54" s="165"/>
      <c r="E54" s="166">
        <v>2</v>
      </c>
      <c r="F54" s="529" t="s">
        <v>121</v>
      </c>
      <c r="G54" s="529"/>
      <c r="H54" s="529"/>
      <c r="I54" s="529"/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/>
      <c r="AF54" s="529"/>
      <c r="AG54" s="529"/>
      <c r="AH54" s="529"/>
      <c r="AI54" s="529"/>
      <c r="AJ54" s="529"/>
      <c r="AK54" s="529"/>
      <c r="AL54" s="530"/>
      <c r="AM54" s="27"/>
      <c r="AO54" s="123"/>
      <c r="AP54" s="123"/>
    </row>
    <row r="55" spans="1:42" s="55" customFormat="1" x14ac:dyDescent="0.3">
      <c r="A55" s="162">
        <v>46071</v>
      </c>
      <c r="B55" s="163"/>
      <c r="C55" s="164" t="s">
        <v>48</v>
      </c>
      <c r="D55" s="165"/>
      <c r="E55" s="166">
        <v>2</v>
      </c>
      <c r="F55" s="529" t="s">
        <v>121</v>
      </c>
      <c r="G55" s="529"/>
      <c r="H55" s="529"/>
      <c r="I55" s="529"/>
      <c r="J55" s="529"/>
      <c r="K55" s="529"/>
      <c r="L55" s="529"/>
      <c r="M55" s="529"/>
      <c r="N55" s="529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529"/>
      <c r="AI55" s="529"/>
      <c r="AJ55" s="529"/>
      <c r="AK55" s="529"/>
      <c r="AL55" s="530"/>
      <c r="AM55" s="27"/>
      <c r="AO55" s="123"/>
      <c r="AP55" s="123"/>
    </row>
    <row r="56" spans="1:42" s="55" customFormat="1" x14ac:dyDescent="0.3">
      <c r="A56" s="162">
        <v>46072</v>
      </c>
      <c r="B56" s="163"/>
      <c r="C56" s="164" t="s">
        <v>48</v>
      </c>
      <c r="D56" s="165"/>
      <c r="E56" s="166">
        <v>2</v>
      </c>
      <c r="F56" s="529" t="s">
        <v>121</v>
      </c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529"/>
      <c r="AK56" s="529"/>
      <c r="AL56" s="530"/>
      <c r="AM56" s="27"/>
      <c r="AO56" s="123"/>
      <c r="AP56" s="123"/>
    </row>
    <row r="57" spans="1:42" s="55" customFormat="1" x14ac:dyDescent="0.3">
      <c r="A57" s="162">
        <v>46073</v>
      </c>
      <c r="B57" s="163"/>
      <c r="C57" s="164" t="s">
        <v>48</v>
      </c>
      <c r="D57" s="165"/>
      <c r="E57" s="166">
        <v>2</v>
      </c>
      <c r="F57" s="529" t="s">
        <v>121</v>
      </c>
      <c r="G57" s="529"/>
      <c r="H57" s="529"/>
      <c r="I57" s="529"/>
      <c r="J57" s="529"/>
      <c r="K57" s="529"/>
      <c r="L57" s="529"/>
      <c r="M57" s="529"/>
      <c r="N57" s="529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  <c r="AA57" s="529"/>
      <c r="AB57" s="529"/>
      <c r="AC57" s="529"/>
      <c r="AD57" s="529"/>
      <c r="AE57" s="529"/>
      <c r="AF57" s="529"/>
      <c r="AG57" s="529"/>
      <c r="AH57" s="529"/>
      <c r="AI57" s="529"/>
      <c r="AJ57" s="529"/>
      <c r="AK57" s="529"/>
      <c r="AL57" s="530"/>
      <c r="AM57" s="27"/>
      <c r="AO57" s="123"/>
      <c r="AP57" s="123"/>
    </row>
    <row r="58" spans="1:42" s="55" customFormat="1" x14ac:dyDescent="0.3">
      <c r="A58" s="60">
        <v>46074</v>
      </c>
      <c r="B58" s="61"/>
      <c r="C58" s="13"/>
      <c r="D58" s="62"/>
      <c r="E58" s="14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  <c r="AB58" s="537"/>
      <c r="AC58" s="537"/>
      <c r="AD58" s="537"/>
      <c r="AE58" s="537"/>
      <c r="AF58" s="537"/>
      <c r="AG58" s="537"/>
      <c r="AH58" s="537"/>
      <c r="AI58" s="537"/>
      <c r="AJ58" s="537"/>
      <c r="AK58" s="537"/>
      <c r="AL58" s="538"/>
      <c r="AM58" s="27"/>
      <c r="AO58" s="123"/>
      <c r="AP58" s="123"/>
    </row>
    <row r="59" spans="1:42" s="55" customFormat="1" x14ac:dyDescent="0.3">
      <c r="A59" s="60">
        <v>46075</v>
      </c>
      <c r="B59" s="61"/>
      <c r="C59" s="13"/>
      <c r="D59" s="62"/>
      <c r="E59" s="14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537"/>
      <c r="AD59" s="537"/>
      <c r="AE59" s="537"/>
      <c r="AF59" s="537"/>
      <c r="AG59" s="537"/>
      <c r="AH59" s="537"/>
      <c r="AI59" s="537"/>
      <c r="AJ59" s="537"/>
      <c r="AK59" s="537"/>
      <c r="AL59" s="538"/>
      <c r="AM59" s="27"/>
      <c r="AO59" s="123"/>
      <c r="AP59" s="123"/>
    </row>
    <row r="60" spans="1:42" s="55" customFormat="1" x14ac:dyDescent="0.3">
      <c r="A60" s="162">
        <v>46076</v>
      </c>
      <c r="B60" s="163"/>
      <c r="C60" s="164" t="s">
        <v>48</v>
      </c>
      <c r="D60" s="165"/>
      <c r="E60" s="166">
        <v>6</v>
      </c>
      <c r="F60" s="529" t="s">
        <v>122</v>
      </c>
      <c r="G60" s="529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529"/>
      <c r="AK60" s="529"/>
      <c r="AL60" s="530"/>
      <c r="AM60" s="27"/>
      <c r="AO60" s="123"/>
      <c r="AP60" s="123"/>
    </row>
    <row r="61" spans="1:42" s="55" customFormat="1" x14ac:dyDescent="0.3">
      <c r="A61" s="162">
        <v>46077</v>
      </c>
      <c r="B61" s="163"/>
      <c r="C61" s="164" t="s">
        <v>48</v>
      </c>
      <c r="D61" s="165"/>
      <c r="E61" s="166">
        <v>2</v>
      </c>
      <c r="F61" s="529" t="s">
        <v>122</v>
      </c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529"/>
      <c r="AH61" s="529"/>
      <c r="AI61" s="529"/>
      <c r="AJ61" s="529"/>
      <c r="AK61" s="529"/>
      <c r="AL61" s="530"/>
      <c r="AM61" s="27"/>
      <c r="AO61" s="123"/>
      <c r="AP61" s="123"/>
    </row>
    <row r="62" spans="1:42" s="55" customFormat="1" x14ac:dyDescent="0.3">
      <c r="A62" s="162">
        <v>46078</v>
      </c>
      <c r="B62" s="163"/>
      <c r="C62" s="164"/>
      <c r="D62" s="165"/>
      <c r="E62" s="166"/>
      <c r="F62" s="529"/>
      <c r="G62" s="529"/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/>
      <c r="AH62" s="529"/>
      <c r="AI62" s="529"/>
      <c r="AJ62" s="529"/>
      <c r="AK62" s="529"/>
      <c r="AL62" s="530"/>
      <c r="AM62" s="27"/>
      <c r="AO62" s="123"/>
      <c r="AP62" s="123"/>
    </row>
    <row r="63" spans="1:42" s="55" customFormat="1" x14ac:dyDescent="0.3">
      <c r="A63" s="162">
        <v>46079</v>
      </c>
      <c r="B63" s="163"/>
      <c r="C63" s="164"/>
      <c r="D63" s="165"/>
      <c r="E63" s="166"/>
      <c r="F63" s="529"/>
      <c r="G63" s="529"/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529"/>
      <c r="AH63" s="529"/>
      <c r="AI63" s="529"/>
      <c r="AJ63" s="529"/>
      <c r="AK63" s="529"/>
      <c r="AL63" s="530"/>
      <c r="AM63" s="27"/>
      <c r="AO63" s="123"/>
      <c r="AP63" s="123"/>
    </row>
    <row r="64" spans="1:42" s="55" customFormat="1" x14ac:dyDescent="0.3">
      <c r="A64" s="162">
        <v>46080</v>
      </c>
      <c r="B64" s="163"/>
      <c r="C64" s="164" t="s">
        <v>48</v>
      </c>
      <c r="D64" s="165"/>
      <c r="E64" s="166">
        <v>2</v>
      </c>
      <c r="F64" s="529" t="s">
        <v>123</v>
      </c>
      <c r="G64" s="529"/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529"/>
      <c r="AG64" s="529"/>
      <c r="AH64" s="529"/>
      <c r="AI64" s="529"/>
      <c r="AJ64" s="529"/>
      <c r="AK64" s="529"/>
      <c r="AL64" s="530"/>
      <c r="AM64" s="27"/>
      <c r="AO64" s="123"/>
      <c r="AP64" s="123"/>
    </row>
    <row r="65" spans="1:42" s="55" customFormat="1" ht="13.5" thickBot="1" x14ac:dyDescent="0.35">
      <c r="A65" s="60">
        <v>46081</v>
      </c>
      <c r="B65" s="167"/>
      <c r="C65" s="168"/>
      <c r="D65" s="169"/>
      <c r="E65" s="170"/>
      <c r="F65" s="582"/>
      <c r="G65" s="582"/>
      <c r="H65" s="582"/>
      <c r="I65" s="582"/>
      <c r="J65" s="582"/>
      <c r="K65" s="582"/>
      <c r="L65" s="582"/>
      <c r="M65" s="582"/>
      <c r="N65" s="582"/>
      <c r="O65" s="582"/>
      <c r="P65" s="582"/>
      <c r="Q65" s="582"/>
      <c r="R65" s="582"/>
      <c r="S65" s="582"/>
      <c r="T65" s="582"/>
      <c r="U65" s="582"/>
      <c r="V65" s="582"/>
      <c r="W65" s="582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  <c r="AH65" s="582"/>
      <c r="AI65" s="582"/>
      <c r="AJ65" s="582"/>
      <c r="AK65" s="582"/>
      <c r="AL65" s="583"/>
      <c r="AM65" s="27"/>
      <c r="AO65" s="123"/>
      <c r="AP65" s="123"/>
    </row>
    <row r="66" spans="1:42" s="55" customFormat="1" ht="15" thickBot="1" x14ac:dyDescent="0.35">
      <c r="A66" s="63" t="s">
        <v>53</v>
      </c>
      <c r="B66" s="64"/>
      <c r="C66" s="64"/>
      <c r="D66" s="65"/>
      <c r="E66" s="66">
        <f>SUM(E38:E65)</f>
        <v>36</v>
      </c>
      <c r="F66" s="4"/>
      <c r="G66" s="4"/>
      <c r="H66" s="4"/>
      <c r="I66" s="6"/>
      <c r="J66" s="6"/>
      <c r="K66" s="6"/>
      <c r="L66" s="6"/>
      <c r="M66" s="6"/>
      <c r="N66" s="6"/>
      <c r="O66" s="6"/>
      <c r="P66" s="5"/>
      <c r="Q66" s="5"/>
      <c r="R66" s="5"/>
      <c r="S66" s="5"/>
      <c r="T66" s="5"/>
      <c r="U66" s="5"/>
      <c r="V66" s="5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09"/>
      <c r="AM66" s="4"/>
      <c r="AO66" s="123"/>
      <c r="AP66" s="123"/>
    </row>
    <row r="67" spans="1:42" s="55" customFormat="1" ht="13.5" thickBot="1" x14ac:dyDescent="0.35">
      <c r="A67" s="533" t="s">
        <v>54</v>
      </c>
      <c r="B67" s="535" t="s">
        <v>55</v>
      </c>
      <c r="C67" s="536"/>
      <c r="D67" s="535" t="s">
        <v>56</v>
      </c>
      <c r="E67" s="536"/>
      <c r="F67" s="535" t="s">
        <v>46</v>
      </c>
      <c r="G67" s="536"/>
      <c r="H67" s="535" t="s">
        <v>48</v>
      </c>
      <c r="I67" s="536"/>
      <c r="J67" s="525"/>
      <c r="K67" s="522"/>
      <c r="L67" s="522"/>
      <c r="M67" s="522"/>
      <c r="N67" s="6"/>
      <c r="O67" s="6"/>
      <c r="P67" s="5"/>
      <c r="Q67" s="5"/>
      <c r="R67" s="5"/>
      <c r="S67" s="5"/>
      <c r="T67" s="5"/>
      <c r="U67" s="5"/>
      <c r="V67" s="5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09"/>
      <c r="AM67" s="4"/>
      <c r="AO67" s="123"/>
      <c r="AP67" s="123"/>
    </row>
    <row r="68" spans="1:42" s="55" customFormat="1" ht="13.5" thickBot="1" x14ac:dyDescent="0.35">
      <c r="A68" s="534"/>
      <c r="B68" s="523">
        <f>SUMIFS($E$38:$E$65,$C$38:$C$65,"WP1")</f>
        <v>0</v>
      </c>
      <c r="C68" s="524"/>
      <c r="D68" s="523">
        <f>SUMIFS($E$38:$E$65,$C$38:$C$65,"WP2")</f>
        <v>0</v>
      </c>
      <c r="E68" s="524"/>
      <c r="F68" s="523">
        <f>SUMIFS($E$38:$E$65,$C$38:$C$65,"WP3")</f>
        <v>0</v>
      </c>
      <c r="G68" s="524"/>
      <c r="H68" s="523">
        <f>SUMIFS($E$38:$E$65,$C$38:$C$65,"WP4")</f>
        <v>36</v>
      </c>
      <c r="I68" s="524"/>
      <c r="J68" s="525"/>
      <c r="K68" s="522"/>
      <c r="L68" s="522"/>
      <c r="M68" s="522"/>
      <c r="N68" s="6"/>
      <c r="O68" s="6"/>
      <c r="P68" s="5"/>
      <c r="Q68" s="5"/>
      <c r="R68" s="5"/>
      <c r="S68" s="5"/>
      <c r="T68" s="5"/>
      <c r="U68" s="5"/>
      <c r="V68" s="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09"/>
      <c r="AM68" s="4"/>
      <c r="AO68" s="123"/>
      <c r="AP68" s="123"/>
    </row>
    <row r="69" spans="1:42" x14ac:dyDescent="0.3">
      <c r="I69" s="6"/>
      <c r="J69" s="6"/>
      <c r="K69" s="6"/>
      <c r="L69" s="6"/>
      <c r="M69" s="6"/>
      <c r="N69" s="6"/>
      <c r="O69" s="6"/>
      <c r="P69" s="5"/>
      <c r="Q69" s="5"/>
      <c r="R69" s="5"/>
      <c r="S69" s="5"/>
      <c r="T69" s="5"/>
      <c r="U69" s="5"/>
      <c r="V69" s="5"/>
    </row>
    <row r="70" spans="1:42" x14ac:dyDescent="0.3">
      <c r="I70" s="6"/>
      <c r="J70" s="6"/>
      <c r="K70" s="6"/>
      <c r="L70" s="6"/>
      <c r="M70" s="6"/>
      <c r="N70" s="6"/>
      <c r="O70" s="6"/>
      <c r="P70" s="5"/>
      <c r="Q70" s="5"/>
      <c r="R70" s="5"/>
      <c r="S70" s="5"/>
      <c r="T70" s="5"/>
      <c r="U70" s="5"/>
      <c r="V70" s="5"/>
    </row>
    <row r="71" spans="1:42" x14ac:dyDescent="0.3">
      <c r="I71" s="6"/>
      <c r="J71" s="6"/>
      <c r="K71" s="6"/>
      <c r="L71" s="6"/>
      <c r="M71" s="6"/>
      <c r="N71" s="6"/>
      <c r="O71" s="6"/>
      <c r="P71" s="5"/>
      <c r="Q71" s="5"/>
      <c r="R71" s="5"/>
      <c r="S71" s="5"/>
      <c r="T71" s="5"/>
      <c r="U71" s="5"/>
      <c r="V71" s="5"/>
    </row>
    <row r="72" spans="1:42" x14ac:dyDescent="0.3"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5"/>
      <c r="U72" s="5"/>
      <c r="V72" s="5"/>
    </row>
    <row r="73" spans="1:42" x14ac:dyDescent="0.3">
      <c r="I73" s="6"/>
      <c r="J73" s="6"/>
      <c r="K73" s="6"/>
      <c r="L73" s="6"/>
      <c r="M73" s="6"/>
      <c r="N73" s="6"/>
      <c r="O73" s="6"/>
      <c r="P73" s="5"/>
      <c r="Q73" s="5"/>
      <c r="R73" s="5"/>
      <c r="S73" s="5"/>
      <c r="T73" s="5"/>
      <c r="U73" s="5"/>
      <c r="V73" s="5"/>
    </row>
    <row r="74" spans="1:42" x14ac:dyDescent="0.3">
      <c r="I74" s="6"/>
      <c r="J74" s="6"/>
      <c r="K74" s="6"/>
      <c r="L74" s="6"/>
      <c r="M74" s="6"/>
      <c r="N74" s="6"/>
      <c r="O74" s="6"/>
      <c r="P74" s="5"/>
      <c r="Q74" s="5"/>
      <c r="R74" s="5"/>
      <c r="S74" s="5"/>
      <c r="T74" s="5"/>
      <c r="U74" s="5"/>
      <c r="V74" s="5"/>
    </row>
    <row r="75" spans="1:42" x14ac:dyDescent="0.3">
      <c r="I75" s="6"/>
      <c r="J75" s="6"/>
      <c r="K75" s="6"/>
      <c r="L75" s="6"/>
      <c r="M75" s="6"/>
      <c r="N75" s="6"/>
      <c r="O75" s="6"/>
      <c r="P75" s="5"/>
      <c r="Q75" s="5"/>
      <c r="R75" s="5"/>
      <c r="S75" s="5"/>
      <c r="T75" s="5"/>
      <c r="U75" s="5"/>
      <c r="V75" s="5"/>
    </row>
    <row r="76" spans="1:42" x14ac:dyDescent="0.3">
      <c r="I76" s="6"/>
      <c r="J76" s="6"/>
      <c r="K76" s="6"/>
      <c r="L76" s="6"/>
      <c r="M76" s="6"/>
      <c r="N76" s="6"/>
      <c r="O76" s="6"/>
      <c r="P76" s="5"/>
      <c r="Q76" s="5"/>
      <c r="R76" s="5"/>
      <c r="S76" s="5"/>
      <c r="T76" s="5"/>
      <c r="U76" s="5"/>
      <c r="V76" s="5"/>
    </row>
    <row r="77" spans="1:42" x14ac:dyDescent="0.3">
      <c r="A77" s="15"/>
      <c r="I77" s="6"/>
      <c r="J77" s="6"/>
      <c r="K77" s="6"/>
      <c r="L77" s="6"/>
      <c r="M77" s="6"/>
      <c r="N77" s="6"/>
      <c r="O77" s="6"/>
      <c r="P77" s="5"/>
      <c r="Q77" s="5"/>
      <c r="R77" s="5"/>
      <c r="S77" s="5"/>
      <c r="T77" s="5"/>
      <c r="U77" s="5"/>
      <c r="V77" s="5"/>
    </row>
    <row r="78" spans="1:42" x14ac:dyDescent="0.3">
      <c r="I78" s="6"/>
      <c r="J78" s="6"/>
      <c r="K78" s="6"/>
      <c r="L78" s="6"/>
      <c r="M78" s="6"/>
      <c r="N78" s="6"/>
      <c r="O78" s="6"/>
      <c r="P78" s="5"/>
      <c r="Q78" s="5"/>
      <c r="R78" s="5"/>
      <c r="S78" s="5"/>
      <c r="T78" s="5"/>
      <c r="U78" s="5"/>
      <c r="V78" s="5"/>
    </row>
    <row r="79" spans="1:42" x14ac:dyDescent="0.3">
      <c r="I79" s="6"/>
      <c r="J79" s="6"/>
      <c r="K79" s="6"/>
      <c r="L79" s="6"/>
      <c r="M79" s="6"/>
      <c r="N79" s="6"/>
      <c r="O79" s="6"/>
      <c r="P79" s="5"/>
      <c r="Q79" s="5"/>
      <c r="R79" s="5"/>
      <c r="S79" s="5"/>
      <c r="T79" s="5"/>
      <c r="U79" s="5"/>
      <c r="V79" s="5"/>
    </row>
    <row r="80" spans="1:42" x14ac:dyDescent="0.3"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5"/>
      <c r="U80" s="5"/>
      <c r="V80" s="5"/>
    </row>
    <row r="81" spans="1:22" x14ac:dyDescent="0.3">
      <c r="I81" s="6"/>
      <c r="J81" s="6"/>
      <c r="K81" s="6"/>
      <c r="L81" s="6"/>
      <c r="M81" s="6"/>
      <c r="N81" s="6"/>
      <c r="O81" s="6"/>
      <c r="P81" s="5"/>
      <c r="Q81" s="5"/>
      <c r="R81" s="5"/>
      <c r="S81" s="5"/>
      <c r="T81" s="5"/>
      <c r="U81" s="5"/>
      <c r="V81" s="5"/>
    </row>
    <row r="82" spans="1:22" x14ac:dyDescent="0.3"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5"/>
      <c r="V82" s="5"/>
    </row>
    <row r="83" spans="1:22" x14ac:dyDescent="0.3"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5"/>
      <c r="U83" s="5"/>
      <c r="V83" s="5"/>
    </row>
    <row r="84" spans="1:22" x14ac:dyDescent="0.3"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5"/>
      <c r="U84" s="5"/>
      <c r="V84" s="5"/>
    </row>
    <row r="85" spans="1:22" x14ac:dyDescent="0.3"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5"/>
      <c r="U85" s="5"/>
      <c r="V85" s="5"/>
    </row>
    <row r="86" spans="1:22" x14ac:dyDescent="0.3"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5"/>
      <c r="U86" s="5"/>
      <c r="V86" s="5"/>
    </row>
    <row r="87" spans="1:22" x14ac:dyDescent="0.3"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5"/>
      <c r="U87" s="5"/>
      <c r="V87" s="5"/>
    </row>
    <row r="88" spans="1:22" x14ac:dyDescent="0.3"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5"/>
      <c r="U88" s="5"/>
      <c r="V88" s="5"/>
    </row>
    <row r="89" spans="1:22" x14ac:dyDescent="0.3"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5"/>
      <c r="U89" s="5"/>
      <c r="V89" s="5"/>
    </row>
    <row r="90" spans="1:22" x14ac:dyDescent="0.3">
      <c r="A90" s="15"/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5"/>
      <c r="U90" s="5"/>
      <c r="V90" s="5"/>
    </row>
    <row r="91" spans="1:22" x14ac:dyDescent="0.3">
      <c r="A91" s="15"/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5"/>
      <c r="U91" s="5"/>
      <c r="V91" s="5"/>
    </row>
    <row r="92" spans="1:22" x14ac:dyDescent="0.3">
      <c r="A92" s="15"/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5"/>
      <c r="U92" s="5"/>
      <c r="V92" s="5"/>
    </row>
    <row r="93" spans="1:22" x14ac:dyDescent="0.3">
      <c r="A93" s="15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5"/>
      <c r="V93" s="5"/>
    </row>
    <row r="94" spans="1:22" x14ac:dyDescent="0.3">
      <c r="A94" s="15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5"/>
      <c r="U94" s="5"/>
      <c r="V94" s="5"/>
    </row>
    <row r="95" spans="1:22" x14ac:dyDescent="0.3">
      <c r="A95" s="15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5"/>
      <c r="U95" s="5"/>
      <c r="V95" s="5"/>
    </row>
    <row r="96" spans="1:22" x14ac:dyDescent="0.3">
      <c r="A96" s="15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5"/>
      <c r="U96" s="5"/>
      <c r="V96" s="5"/>
    </row>
    <row r="97" spans="1:54" x14ac:dyDescent="0.3">
      <c r="A97" s="15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5"/>
      <c r="V97" s="5"/>
    </row>
    <row r="98" spans="1:54" x14ac:dyDescent="0.3">
      <c r="A98" s="15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5"/>
      <c r="U98" s="5"/>
      <c r="V98" s="5"/>
    </row>
    <row r="99" spans="1:54" ht="13.5" thickBot="1" x14ac:dyDescent="0.35"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5"/>
      <c r="U99" s="5"/>
      <c r="V99" s="5"/>
      <c r="AQ99" s="55"/>
    </row>
    <row r="100" spans="1:54" x14ac:dyDescent="0.3">
      <c r="A100" s="281"/>
      <c r="B100" s="282"/>
      <c r="C100" s="282"/>
      <c r="D100" s="282"/>
      <c r="E100" s="282"/>
      <c r="F100" s="282"/>
      <c r="G100" s="282"/>
      <c r="H100" s="282"/>
      <c r="I100" s="283"/>
      <c r="J100" s="283"/>
      <c r="K100" s="283"/>
      <c r="L100" s="283"/>
      <c r="M100" s="283"/>
      <c r="N100" s="283"/>
      <c r="O100" s="283"/>
      <c r="P100" s="284"/>
      <c r="Q100" s="284"/>
      <c r="R100" s="284"/>
      <c r="S100" s="284"/>
      <c r="T100" s="284"/>
      <c r="U100" s="284"/>
      <c r="V100" s="284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  <c r="AK100" s="282"/>
      <c r="AL100" s="315"/>
      <c r="AM100" s="285"/>
    </row>
    <row r="101" spans="1:54" x14ac:dyDescent="0.3">
      <c r="A101" s="286"/>
      <c r="B101" s="287"/>
      <c r="C101" s="287"/>
      <c r="D101" s="287"/>
      <c r="E101" s="287"/>
      <c r="F101" s="287"/>
      <c r="G101" s="287"/>
      <c r="H101" s="287"/>
      <c r="I101" s="288"/>
      <c r="J101" s="288"/>
      <c r="K101" s="288"/>
      <c r="L101" s="288"/>
      <c r="M101" s="288"/>
      <c r="N101" s="288"/>
      <c r="O101" s="288"/>
      <c r="P101" s="289"/>
      <c r="Q101" s="289"/>
      <c r="R101" s="289"/>
      <c r="S101" s="289"/>
      <c r="T101" s="289"/>
      <c r="U101" s="289"/>
      <c r="V101" s="289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316"/>
      <c r="AM101" s="290"/>
    </row>
    <row r="102" spans="1:54" x14ac:dyDescent="0.3">
      <c r="A102" s="286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316"/>
      <c r="AM102" s="290"/>
    </row>
    <row r="103" spans="1:54" ht="14.15" customHeight="1" x14ac:dyDescent="0.3">
      <c r="A103" s="286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316"/>
      <c r="AM103" s="290"/>
    </row>
    <row r="104" spans="1:54" x14ac:dyDescent="0.3">
      <c r="A104" s="286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316"/>
      <c r="AM104" s="290"/>
    </row>
    <row r="105" spans="1:54" ht="13.5" thickBot="1" x14ac:dyDescent="0.35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  <c r="AA105" s="292"/>
      <c r="AB105" s="292"/>
      <c r="AC105" s="292"/>
      <c r="AD105" s="292"/>
      <c r="AE105" s="292"/>
      <c r="AF105" s="292"/>
      <c r="AG105" s="292"/>
      <c r="AH105" s="292"/>
      <c r="AI105" s="292"/>
      <c r="AJ105" s="292"/>
      <c r="AK105" s="292"/>
      <c r="AL105" s="317"/>
      <c r="AM105" s="293"/>
    </row>
    <row r="106" spans="1:54" ht="14.15" customHeight="1" x14ac:dyDescent="0.3">
      <c r="A106" s="509" t="s">
        <v>57</v>
      </c>
      <c r="B106" s="510"/>
      <c r="C106" s="510"/>
      <c r="D106" s="510"/>
      <c r="E106" s="510"/>
      <c r="F106" s="511"/>
      <c r="G106" s="512" t="s">
        <v>58</v>
      </c>
      <c r="H106" s="513"/>
      <c r="I106" s="513"/>
      <c r="J106" s="513"/>
      <c r="K106" s="513"/>
      <c r="L106" s="513"/>
      <c r="M106" s="513"/>
      <c r="N106" s="513"/>
      <c r="O106" s="513"/>
      <c r="P106" s="513"/>
      <c r="Q106" s="513"/>
      <c r="R106" s="513"/>
      <c r="S106" s="513"/>
      <c r="T106" s="513"/>
      <c r="U106" s="513"/>
      <c r="V106" s="513"/>
      <c r="W106" s="513"/>
      <c r="X106" s="513"/>
      <c r="Y106" s="513"/>
      <c r="Z106" s="513"/>
      <c r="AA106" s="513"/>
      <c r="AB106" s="513"/>
      <c r="AC106" s="513"/>
      <c r="AD106" s="513"/>
      <c r="AE106" s="513"/>
      <c r="AF106" s="513"/>
      <c r="AG106" s="513"/>
      <c r="AH106" s="513"/>
      <c r="AI106" s="513"/>
      <c r="AJ106" s="513"/>
      <c r="AK106" s="513"/>
      <c r="AL106" s="513"/>
      <c r="AM106" s="514"/>
      <c r="AN106" s="515"/>
      <c r="AO106" s="25"/>
      <c r="AP106" s="25"/>
    </row>
    <row r="107" spans="1:54" ht="14.15" customHeight="1" x14ac:dyDescent="0.3">
      <c r="A107" s="516" t="s">
        <v>59</v>
      </c>
      <c r="B107" s="517"/>
      <c r="C107" s="517"/>
      <c r="D107" s="517"/>
      <c r="E107" s="517"/>
      <c r="F107" s="518"/>
      <c r="G107" s="519" t="s">
        <v>60</v>
      </c>
      <c r="H107" s="520"/>
      <c r="I107" s="520"/>
      <c r="J107" s="520"/>
      <c r="K107" s="520"/>
      <c r="L107" s="520"/>
      <c r="M107" s="520"/>
      <c r="N107" s="520"/>
      <c r="O107" s="520"/>
      <c r="P107" s="520"/>
      <c r="Q107" s="520"/>
      <c r="R107" s="520"/>
      <c r="S107" s="520"/>
      <c r="T107" s="520"/>
      <c r="U107" s="520"/>
      <c r="V107" s="520"/>
      <c r="W107" s="520"/>
      <c r="X107" s="520"/>
      <c r="Y107" s="520"/>
      <c r="Z107" s="520"/>
      <c r="AA107" s="520"/>
      <c r="AB107" s="520"/>
      <c r="AC107" s="520"/>
      <c r="AD107" s="520"/>
      <c r="AE107" s="520"/>
      <c r="AF107" s="520"/>
      <c r="AG107" s="520"/>
      <c r="AH107" s="520"/>
      <c r="AI107" s="520"/>
      <c r="AJ107" s="520"/>
      <c r="AK107" s="520"/>
      <c r="AL107" s="520"/>
      <c r="AM107" s="521"/>
      <c r="AN107" s="515"/>
      <c r="AO107" s="25"/>
      <c r="AP107" s="25"/>
    </row>
    <row r="108" spans="1:54" ht="14.15" customHeight="1" x14ac:dyDescent="0.3">
      <c r="A108" s="516" t="s">
        <v>61</v>
      </c>
      <c r="B108" s="517"/>
      <c r="C108" s="517"/>
      <c r="D108" s="517"/>
      <c r="E108" s="517"/>
      <c r="F108" s="518"/>
      <c r="G108" s="519" t="s">
        <v>62</v>
      </c>
      <c r="H108" s="520"/>
      <c r="I108" s="520"/>
      <c r="J108" s="520"/>
      <c r="K108" s="520"/>
      <c r="L108" s="520"/>
      <c r="M108" s="520"/>
      <c r="N108" s="520"/>
      <c r="O108" s="520"/>
      <c r="P108" s="520"/>
      <c r="Q108" s="520"/>
      <c r="R108" s="520"/>
      <c r="S108" s="520"/>
      <c r="T108" s="520"/>
      <c r="U108" s="520"/>
      <c r="V108" s="520"/>
      <c r="W108" s="520"/>
      <c r="X108" s="520"/>
      <c r="Y108" s="520"/>
      <c r="Z108" s="520"/>
      <c r="AA108" s="520"/>
      <c r="AB108" s="520"/>
      <c r="AC108" s="520"/>
      <c r="AD108" s="520"/>
      <c r="AE108" s="520"/>
      <c r="AF108" s="520"/>
      <c r="AG108" s="520"/>
      <c r="AH108" s="520"/>
      <c r="AI108" s="520"/>
      <c r="AJ108" s="520"/>
      <c r="AK108" s="520"/>
      <c r="AL108" s="520"/>
      <c r="AM108" s="521"/>
      <c r="AN108" s="515"/>
      <c r="AO108" s="25"/>
      <c r="AP108" s="25"/>
    </row>
    <row r="109" spans="1:54" ht="14.15" customHeight="1" x14ac:dyDescent="0.3">
      <c r="A109" s="516" t="s">
        <v>63</v>
      </c>
      <c r="B109" s="517"/>
      <c r="C109" s="517"/>
      <c r="D109" s="517"/>
      <c r="E109" s="517"/>
      <c r="F109" s="518"/>
      <c r="G109" s="519" t="s">
        <v>64</v>
      </c>
      <c r="H109" s="520"/>
      <c r="I109" s="520"/>
      <c r="J109" s="520"/>
      <c r="K109" s="520"/>
      <c r="L109" s="520"/>
      <c r="M109" s="520"/>
      <c r="N109" s="520"/>
      <c r="O109" s="520"/>
      <c r="P109" s="520"/>
      <c r="Q109" s="520"/>
      <c r="R109" s="520"/>
      <c r="S109" s="520"/>
      <c r="T109" s="520"/>
      <c r="U109" s="520"/>
      <c r="V109" s="520"/>
      <c r="W109" s="520"/>
      <c r="X109" s="520"/>
      <c r="Y109" s="520"/>
      <c r="Z109" s="520"/>
      <c r="AA109" s="520"/>
      <c r="AB109" s="520"/>
      <c r="AC109" s="520"/>
      <c r="AD109" s="520"/>
      <c r="AE109" s="520"/>
      <c r="AF109" s="520"/>
      <c r="AG109" s="520"/>
      <c r="AH109" s="520"/>
      <c r="AI109" s="520"/>
      <c r="AJ109" s="520"/>
      <c r="AK109" s="520"/>
      <c r="AL109" s="520"/>
      <c r="AM109" s="521"/>
      <c r="AN109" s="515"/>
      <c r="AO109" s="25"/>
      <c r="AP109" s="25"/>
    </row>
    <row r="110" spans="1:54" ht="14.15" customHeight="1" thickBot="1" x14ac:dyDescent="0.35">
      <c r="A110" s="516" t="s">
        <v>65</v>
      </c>
      <c r="B110" s="517"/>
      <c r="C110" s="517"/>
      <c r="D110" s="517"/>
      <c r="E110" s="517"/>
      <c r="F110" s="518"/>
      <c r="G110" s="526" t="s">
        <v>66</v>
      </c>
      <c r="H110" s="527"/>
      <c r="I110" s="527"/>
      <c r="J110" s="527"/>
      <c r="K110" s="527"/>
      <c r="L110" s="527"/>
      <c r="M110" s="527"/>
      <c r="N110" s="527"/>
      <c r="O110" s="527"/>
      <c r="P110" s="527"/>
      <c r="Q110" s="527"/>
      <c r="R110" s="527"/>
      <c r="S110" s="527"/>
      <c r="T110" s="527"/>
      <c r="U110" s="527"/>
      <c r="V110" s="527"/>
      <c r="W110" s="527"/>
      <c r="X110" s="527"/>
      <c r="Y110" s="527"/>
      <c r="Z110" s="527"/>
      <c r="AA110" s="527"/>
      <c r="AB110" s="527"/>
      <c r="AC110" s="527"/>
      <c r="AD110" s="527"/>
      <c r="AE110" s="527"/>
      <c r="AF110" s="527"/>
      <c r="AG110" s="527"/>
      <c r="AH110" s="527"/>
      <c r="AI110" s="527"/>
      <c r="AJ110" s="527"/>
      <c r="AK110" s="527"/>
      <c r="AL110" s="527"/>
      <c r="AM110" s="528"/>
      <c r="AN110" s="515"/>
      <c r="AO110" s="25"/>
      <c r="AP110" s="25"/>
    </row>
    <row r="111" spans="1:54" s="10" customFormat="1" ht="28.5" customHeight="1" thickBot="1" x14ac:dyDescent="0.4">
      <c r="A111" s="294" t="s">
        <v>67</v>
      </c>
      <c r="B111" s="504" t="s">
        <v>68</v>
      </c>
      <c r="C111" s="504"/>
      <c r="D111" s="505" t="s">
        <v>69</v>
      </c>
      <c r="E111" s="506"/>
      <c r="F111" s="506"/>
      <c r="G111" s="506"/>
      <c r="H111" s="506"/>
      <c r="I111" s="506"/>
      <c r="J111" s="506"/>
      <c r="K111" s="506"/>
      <c r="L111" s="506"/>
      <c r="M111" s="506"/>
      <c r="N111" s="506"/>
      <c r="O111" s="506"/>
      <c r="P111" s="506"/>
      <c r="Q111" s="506"/>
      <c r="R111" s="506"/>
      <c r="S111" s="506"/>
      <c r="T111" s="506"/>
      <c r="U111" s="506"/>
      <c r="V111" s="506"/>
      <c r="W111" s="506"/>
      <c r="X111" s="506"/>
      <c r="Y111" s="506"/>
      <c r="Z111" s="506"/>
      <c r="AA111" s="506"/>
      <c r="AB111" s="506"/>
      <c r="AC111" s="506"/>
      <c r="AD111" s="506"/>
      <c r="AE111" s="506"/>
      <c r="AF111" s="506"/>
      <c r="AG111" s="506"/>
      <c r="AH111" s="506"/>
      <c r="AI111" s="506"/>
      <c r="AJ111" s="506"/>
      <c r="AK111" s="295" t="s">
        <v>70</v>
      </c>
      <c r="AL111" s="318" t="s">
        <v>71</v>
      </c>
      <c r="AM111" s="75" t="s">
        <v>72</v>
      </c>
      <c r="AN111" s="24" t="s">
        <v>73</v>
      </c>
      <c r="AO111" s="331" t="s">
        <v>74</v>
      </c>
      <c r="AP111" s="332" t="s">
        <v>75</v>
      </c>
      <c r="AQ111" s="333" t="s">
        <v>76</v>
      </c>
      <c r="AR111" s="333" t="s">
        <v>77</v>
      </c>
      <c r="AS111" s="333" t="s">
        <v>78</v>
      </c>
      <c r="AT111" s="333" t="s">
        <v>79</v>
      </c>
      <c r="AU111" s="333" t="s">
        <v>80</v>
      </c>
      <c r="AV111" s="333" t="s">
        <v>81</v>
      </c>
      <c r="AW111" s="333" t="s">
        <v>82</v>
      </c>
      <c r="AX111" s="333" t="s">
        <v>83</v>
      </c>
      <c r="AY111" s="333" t="s">
        <v>84</v>
      </c>
      <c r="AZ111" s="333" t="s">
        <v>85</v>
      </c>
      <c r="BA111" s="333" t="s">
        <v>86</v>
      </c>
      <c r="BB111" s="333" t="s">
        <v>87</v>
      </c>
    </row>
    <row r="112" spans="1:54" s="7" customFormat="1" ht="14.15" customHeight="1" x14ac:dyDescent="0.35">
      <c r="A112" s="296">
        <v>46054</v>
      </c>
      <c r="B112" s="649"/>
      <c r="C112" s="649"/>
      <c r="D112" s="650"/>
      <c r="E112" s="650"/>
      <c r="F112" s="650"/>
      <c r="G112" s="650"/>
      <c r="H112" s="650"/>
      <c r="I112" s="650"/>
      <c r="J112" s="650"/>
      <c r="K112" s="650"/>
      <c r="L112" s="650"/>
      <c r="M112" s="650"/>
      <c r="N112" s="650"/>
      <c r="O112" s="650"/>
      <c r="P112" s="650"/>
      <c r="Q112" s="650"/>
      <c r="R112" s="650"/>
      <c r="S112" s="650"/>
      <c r="T112" s="650"/>
      <c r="U112" s="650"/>
      <c r="V112" s="650"/>
      <c r="W112" s="650"/>
      <c r="X112" s="650"/>
      <c r="Y112" s="650"/>
      <c r="Z112" s="650"/>
      <c r="AA112" s="650"/>
      <c r="AB112" s="650"/>
      <c r="AC112" s="650"/>
      <c r="AD112" s="650"/>
      <c r="AE112" s="650"/>
      <c r="AF112" s="650"/>
      <c r="AG112" s="650"/>
      <c r="AH112" s="650"/>
      <c r="AI112" s="650"/>
      <c r="AJ112" s="650"/>
      <c r="AK112" s="297"/>
      <c r="AL112" s="319"/>
      <c r="AM112" s="233"/>
      <c r="AN112" s="234"/>
      <c r="AO112" s="324">
        <f t="shared" ref="AO112:AO141" si="1">A112</f>
        <v>46054</v>
      </c>
      <c r="AP112" s="278" t="str">
        <f t="shared" ref="AP112:AP141" si="2">LEFT(D112,6)</f>
        <v/>
      </c>
      <c r="AQ112" s="235"/>
      <c r="AR112" s="236"/>
      <c r="AS112" s="236"/>
      <c r="AT112" s="237"/>
      <c r="AU112" s="236"/>
      <c r="AV112" s="237"/>
      <c r="AW112" s="236"/>
      <c r="AX112" s="237"/>
      <c r="AY112" s="236"/>
      <c r="AZ112" s="236"/>
      <c r="BA112" s="238"/>
      <c r="BB112" s="328"/>
    </row>
    <row r="113" spans="1:54" s="7" customFormat="1" ht="27" customHeight="1" x14ac:dyDescent="0.35">
      <c r="A113" s="298">
        <v>46055</v>
      </c>
      <c r="B113" s="499" t="s">
        <v>88</v>
      </c>
      <c r="C113" s="499"/>
      <c r="D113" s="483" t="s">
        <v>89</v>
      </c>
      <c r="E113" s="483"/>
      <c r="F113" s="483"/>
      <c r="G113" s="483"/>
      <c r="H113" s="483"/>
      <c r="I113" s="483"/>
      <c r="J113" s="483"/>
      <c r="K113" s="483"/>
      <c r="L113" s="483"/>
      <c r="M113" s="483"/>
      <c r="N113" s="483"/>
      <c r="O113" s="483"/>
      <c r="P113" s="483"/>
      <c r="Q113" s="483"/>
      <c r="R113" s="483"/>
      <c r="S113" s="483"/>
      <c r="T113" s="483"/>
      <c r="U113" s="483"/>
      <c r="V113" s="483"/>
      <c r="W113" s="483"/>
      <c r="X113" s="483"/>
      <c r="Y113" s="483"/>
      <c r="Z113" s="483"/>
      <c r="AA113" s="483"/>
      <c r="AB113" s="483"/>
      <c r="AC113" s="483"/>
      <c r="AD113" s="483"/>
      <c r="AE113" s="483"/>
      <c r="AF113" s="483"/>
      <c r="AG113" s="483"/>
      <c r="AH113" s="483"/>
      <c r="AI113" s="483"/>
      <c r="AJ113" s="483"/>
      <c r="AK113" s="299">
        <v>86.35</v>
      </c>
      <c r="AL113" s="320">
        <v>6</v>
      </c>
      <c r="AM113" s="174">
        <f>IF(AL113="CO", "CO", IF(COUNTIF(AO:AO, A113)=0, 0, (8-SUMIF(AO:AO, A113, AL:AL)) / COUNTIF(AO:AO, A113)))</f>
        <v>2</v>
      </c>
      <c r="AN113" s="244" t="s">
        <v>124</v>
      </c>
      <c r="AO113" s="325">
        <f t="shared" si="1"/>
        <v>46055</v>
      </c>
      <c r="AP113" s="279" t="str">
        <f t="shared" si="2"/>
        <v>SA3.4.</v>
      </c>
      <c r="AQ113" s="178" t="s">
        <v>91</v>
      </c>
      <c r="AR113" s="179"/>
      <c r="AS113" s="179" t="s">
        <v>125</v>
      </c>
      <c r="AT113" s="227"/>
      <c r="AU113" s="179"/>
      <c r="AV113" s="180"/>
      <c r="AW113" s="179"/>
      <c r="AX113" s="102"/>
      <c r="AY113" s="179"/>
      <c r="AZ113" s="103"/>
      <c r="BA113" s="181"/>
      <c r="BB113" s="329"/>
    </row>
    <row r="114" spans="1:54" s="7" customFormat="1" ht="27" customHeight="1" x14ac:dyDescent="0.35">
      <c r="A114" s="298">
        <v>46056</v>
      </c>
      <c r="B114" s="499" t="s">
        <v>88</v>
      </c>
      <c r="C114" s="499"/>
      <c r="D114" s="483" t="s">
        <v>89</v>
      </c>
      <c r="E114" s="483"/>
      <c r="F114" s="483"/>
      <c r="G114" s="483"/>
      <c r="H114" s="483"/>
      <c r="I114" s="483"/>
      <c r="J114" s="483"/>
      <c r="K114" s="483"/>
      <c r="L114" s="483"/>
      <c r="M114" s="483"/>
      <c r="N114" s="483"/>
      <c r="O114" s="483"/>
      <c r="P114" s="483"/>
      <c r="Q114" s="483"/>
      <c r="R114" s="483"/>
      <c r="S114" s="483"/>
      <c r="T114" s="483"/>
      <c r="U114" s="483"/>
      <c r="V114" s="483"/>
      <c r="W114" s="483"/>
      <c r="X114" s="483"/>
      <c r="Y114" s="483"/>
      <c r="Z114" s="483"/>
      <c r="AA114" s="483"/>
      <c r="AB114" s="483"/>
      <c r="AC114" s="483"/>
      <c r="AD114" s="483"/>
      <c r="AE114" s="483"/>
      <c r="AF114" s="483"/>
      <c r="AG114" s="483"/>
      <c r="AH114" s="483"/>
      <c r="AI114" s="483"/>
      <c r="AJ114" s="483"/>
      <c r="AK114" s="299">
        <v>86.35</v>
      </c>
      <c r="AL114" s="320">
        <v>6</v>
      </c>
      <c r="AM114" s="174">
        <f>IF(AL114="CO", "CO", IF(COUNTIF(AO:AO, A114)=0, 0, (8-SUMIF(AO:AO, A114, AL:AL)) / COUNTIF(AO:AO, A114)))</f>
        <v>2</v>
      </c>
      <c r="AN114" s="244" t="s">
        <v>124</v>
      </c>
      <c r="AO114" s="325">
        <f t="shared" si="1"/>
        <v>46056</v>
      </c>
      <c r="AP114" s="279" t="str">
        <f t="shared" si="2"/>
        <v>SA3.4.</v>
      </c>
      <c r="AQ114" s="178" t="s">
        <v>91</v>
      </c>
      <c r="AR114" s="179"/>
      <c r="AS114" s="179" t="s">
        <v>125</v>
      </c>
      <c r="AT114" s="180"/>
      <c r="AU114" s="179"/>
      <c r="AV114" s="180"/>
      <c r="AW114" s="179"/>
      <c r="AX114" s="102"/>
      <c r="AY114" s="179"/>
      <c r="AZ114" s="228"/>
      <c r="BA114" s="181"/>
      <c r="BB114" s="329"/>
    </row>
    <row r="115" spans="1:54" s="7" customFormat="1" ht="27" customHeight="1" x14ac:dyDescent="0.35">
      <c r="A115" s="298">
        <v>46057</v>
      </c>
      <c r="B115" s="499" t="s">
        <v>88</v>
      </c>
      <c r="C115" s="499"/>
      <c r="D115" s="483" t="s">
        <v>94</v>
      </c>
      <c r="E115" s="483"/>
      <c r="F115" s="483"/>
      <c r="G115" s="483"/>
      <c r="H115" s="483"/>
      <c r="I115" s="483"/>
      <c r="J115" s="483"/>
      <c r="K115" s="483"/>
      <c r="L115" s="483"/>
      <c r="M115" s="483"/>
      <c r="N115" s="483"/>
      <c r="O115" s="483"/>
      <c r="P115" s="483"/>
      <c r="Q115" s="483"/>
      <c r="R115" s="483"/>
      <c r="S115" s="483"/>
      <c r="T115" s="483"/>
      <c r="U115" s="483"/>
      <c r="V115" s="483"/>
      <c r="W115" s="483"/>
      <c r="X115" s="483"/>
      <c r="Y115" s="483"/>
      <c r="Z115" s="483"/>
      <c r="AA115" s="483"/>
      <c r="AB115" s="483"/>
      <c r="AC115" s="483"/>
      <c r="AD115" s="483"/>
      <c r="AE115" s="483"/>
      <c r="AF115" s="483"/>
      <c r="AG115" s="483"/>
      <c r="AH115" s="483"/>
      <c r="AI115" s="483"/>
      <c r="AJ115" s="483"/>
      <c r="AK115" s="299">
        <v>86.35</v>
      </c>
      <c r="AL115" s="320">
        <v>6</v>
      </c>
      <c r="AM115" s="174">
        <f>IF(AL115="CO", "CO", IF(COUNTIF(AO:AO, A115)=0, 0, (8-SUMIF(AO:AO, A115, AL:AL)) / COUNTIF(AO:AO, A115)))</f>
        <v>2</v>
      </c>
      <c r="AN115" s="175" t="s">
        <v>126</v>
      </c>
      <c r="AO115" s="325">
        <f t="shared" si="1"/>
        <v>46057</v>
      </c>
      <c r="AP115" s="279" t="str">
        <f t="shared" si="2"/>
        <v>SA3.5.</v>
      </c>
      <c r="AQ115" s="178" t="s">
        <v>91</v>
      </c>
      <c r="AR115" s="183"/>
      <c r="AS115" s="179" t="s">
        <v>125</v>
      </c>
      <c r="AT115" s="180"/>
      <c r="AU115" s="179"/>
      <c r="AV115" s="180"/>
      <c r="AW115" s="179"/>
      <c r="AX115" s="103"/>
      <c r="AY115" s="179"/>
      <c r="AZ115" s="103"/>
      <c r="BA115" s="181"/>
      <c r="BB115" s="329"/>
    </row>
    <row r="116" spans="1:54" s="7" customFormat="1" ht="27" customHeight="1" x14ac:dyDescent="0.35">
      <c r="A116" s="298">
        <v>46058</v>
      </c>
      <c r="B116" s="499" t="s">
        <v>88</v>
      </c>
      <c r="C116" s="499"/>
      <c r="D116" s="483" t="s">
        <v>94</v>
      </c>
      <c r="E116" s="483"/>
      <c r="F116" s="483"/>
      <c r="G116" s="483"/>
      <c r="H116" s="483"/>
      <c r="I116" s="483"/>
      <c r="J116" s="483"/>
      <c r="K116" s="483"/>
      <c r="L116" s="483"/>
      <c r="M116" s="483"/>
      <c r="N116" s="483"/>
      <c r="O116" s="483"/>
      <c r="P116" s="483"/>
      <c r="Q116" s="483"/>
      <c r="R116" s="483"/>
      <c r="S116" s="483"/>
      <c r="T116" s="483"/>
      <c r="U116" s="483"/>
      <c r="V116" s="483"/>
      <c r="W116" s="483"/>
      <c r="X116" s="483"/>
      <c r="Y116" s="483"/>
      <c r="Z116" s="483"/>
      <c r="AA116" s="483"/>
      <c r="AB116" s="483"/>
      <c r="AC116" s="483"/>
      <c r="AD116" s="483"/>
      <c r="AE116" s="483"/>
      <c r="AF116" s="483"/>
      <c r="AG116" s="483"/>
      <c r="AH116" s="483"/>
      <c r="AI116" s="483"/>
      <c r="AJ116" s="483"/>
      <c r="AK116" s="299">
        <v>86.35</v>
      </c>
      <c r="AL116" s="320">
        <v>6</v>
      </c>
      <c r="AM116" s="174">
        <f>IF(AL116="CO", "CO", IF(COUNTIF(AO:AO, A116)=0, 0, (8-SUMIF(AO:AO, A116, AL:AL)) / COUNTIF(AO:AO, A116)))</f>
        <v>2</v>
      </c>
      <c r="AN116" s="175" t="s">
        <v>126</v>
      </c>
      <c r="AO116" s="325">
        <f t="shared" si="1"/>
        <v>46058</v>
      </c>
      <c r="AP116" s="279" t="str">
        <f t="shared" si="2"/>
        <v>SA3.5.</v>
      </c>
      <c r="AQ116" s="178" t="s">
        <v>91</v>
      </c>
      <c r="AR116" s="183"/>
      <c r="AS116" s="251" t="s">
        <v>127</v>
      </c>
      <c r="AT116" s="71"/>
      <c r="AU116" s="179"/>
      <c r="AV116" s="258" t="s">
        <v>128</v>
      </c>
      <c r="AW116" s="179"/>
      <c r="AX116" s="103"/>
      <c r="AY116" s="179"/>
      <c r="AZ116" s="103"/>
      <c r="BA116" s="181"/>
      <c r="BB116" s="329"/>
    </row>
    <row r="117" spans="1:54" s="7" customFormat="1" ht="27" customHeight="1" x14ac:dyDescent="0.35">
      <c r="A117" s="298">
        <v>46059</v>
      </c>
      <c r="B117" s="499" t="s">
        <v>88</v>
      </c>
      <c r="C117" s="499"/>
      <c r="D117" s="483" t="s">
        <v>89</v>
      </c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483"/>
      <c r="S117" s="483"/>
      <c r="T117" s="483"/>
      <c r="U117" s="483"/>
      <c r="V117" s="483"/>
      <c r="W117" s="483"/>
      <c r="X117" s="483"/>
      <c r="Y117" s="483"/>
      <c r="Z117" s="483"/>
      <c r="AA117" s="483"/>
      <c r="AB117" s="483"/>
      <c r="AC117" s="483"/>
      <c r="AD117" s="483"/>
      <c r="AE117" s="483"/>
      <c r="AF117" s="483"/>
      <c r="AG117" s="483"/>
      <c r="AH117" s="483"/>
      <c r="AI117" s="483"/>
      <c r="AJ117" s="483"/>
      <c r="AK117" s="299">
        <v>86.35</v>
      </c>
      <c r="AL117" s="320">
        <v>6</v>
      </c>
      <c r="AM117" s="174">
        <f>IF(AL117="CO", "CO", IF(COUNTIF(AO:AO, A117)=0, 0, (8-SUMIF(AO:AO, A117, AL:AL)) / COUNTIF(AO:AO, A117)))</f>
        <v>2</v>
      </c>
      <c r="AN117" s="253" t="s">
        <v>129</v>
      </c>
      <c r="AO117" s="325">
        <f t="shared" si="1"/>
        <v>46059</v>
      </c>
      <c r="AP117" s="279" t="str">
        <f t="shared" si="2"/>
        <v>SA3.4.</v>
      </c>
      <c r="AQ117" s="178" t="s">
        <v>99</v>
      </c>
      <c r="AR117" s="183" t="s">
        <v>130</v>
      </c>
      <c r="AS117" s="251" t="s">
        <v>127</v>
      </c>
      <c r="AT117" s="241" t="s">
        <v>131</v>
      </c>
      <c r="AU117" s="179"/>
      <c r="AV117" s="241" t="s">
        <v>132</v>
      </c>
      <c r="AW117" s="179"/>
      <c r="AX117" s="180"/>
      <c r="AY117" s="179"/>
      <c r="AZ117" s="181"/>
      <c r="BA117" s="181"/>
      <c r="BB117" s="329"/>
    </row>
    <row r="118" spans="1:54" s="7" customFormat="1" ht="14.15" customHeight="1" x14ac:dyDescent="0.35">
      <c r="A118" s="300">
        <v>46060</v>
      </c>
      <c r="B118" s="500"/>
      <c r="C118" s="500"/>
      <c r="D118" s="501"/>
      <c r="E118" s="501"/>
      <c r="F118" s="501"/>
      <c r="G118" s="501"/>
      <c r="H118" s="501"/>
      <c r="I118" s="501"/>
      <c r="J118" s="501"/>
      <c r="K118" s="501"/>
      <c r="L118" s="501"/>
      <c r="M118" s="501"/>
      <c r="N118" s="501"/>
      <c r="O118" s="501"/>
      <c r="P118" s="501"/>
      <c r="Q118" s="501"/>
      <c r="R118" s="501"/>
      <c r="S118" s="501"/>
      <c r="T118" s="501"/>
      <c r="U118" s="501"/>
      <c r="V118" s="501"/>
      <c r="W118" s="501"/>
      <c r="X118" s="501"/>
      <c r="Y118" s="501"/>
      <c r="Z118" s="501"/>
      <c r="AA118" s="501"/>
      <c r="AB118" s="501"/>
      <c r="AC118" s="501"/>
      <c r="AD118" s="501"/>
      <c r="AE118" s="501"/>
      <c r="AF118" s="501"/>
      <c r="AG118" s="501"/>
      <c r="AH118" s="501"/>
      <c r="AI118" s="501"/>
      <c r="AJ118" s="501"/>
      <c r="AK118" s="301"/>
      <c r="AL118" s="320"/>
      <c r="AM118" s="72"/>
      <c r="AN118" s="240"/>
      <c r="AO118" s="326">
        <f t="shared" si="1"/>
        <v>46060</v>
      </c>
      <c r="AP118" s="280" t="str">
        <f t="shared" si="2"/>
        <v/>
      </c>
      <c r="AQ118" s="104"/>
      <c r="AR118" s="105"/>
      <c r="AS118" s="105"/>
      <c r="AT118" s="108"/>
      <c r="AU118" s="105"/>
      <c r="AV118" s="117"/>
      <c r="AW118" s="105"/>
      <c r="AX118" s="107"/>
      <c r="AY118" s="105"/>
      <c r="AZ118" s="105"/>
      <c r="BA118" s="113"/>
      <c r="BB118" s="330"/>
    </row>
    <row r="119" spans="1:54" s="7" customFormat="1" ht="14.15" customHeight="1" x14ac:dyDescent="0.35">
      <c r="A119" s="300">
        <v>46061</v>
      </c>
      <c r="B119" s="500"/>
      <c r="C119" s="500"/>
      <c r="D119" s="501"/>
      <c r="E119" s="501"/>
      <c r="F119" s="501"/>
      <c r="G119" s="501"/>
      <c r="H119" s="501"/>
      <c r="I119" s="501"/>
      <c r="J119" s="501"/>
      <c r="K119" s="501"/>
      <c r="L119" s="501"/>
      <c r="M119" s="501"/>
      <c r="N119" s="501"/>
      <c r="O119" s="501"/>
      <c r="P119" s="501"/>
      <c r="Q119" s="501"/>
      <c r="R119" s="501"/>
      <c r="S119" s="501"/>
      <c r="T119" s="501"/>
      <c r="U119" s="501"/>
      <c r="V119" s="501"/>
      <c r="W119" s="501"/>
      <c r="X119" s="501"/>
      <c r="Y119" s="501"/>
      <c r="Z119" s="501"/>
      <c r="AA119" s="501"/>
      <c r="AB119" s="501"/>
      <c r="AC119" s="501"/>
      <c r="AD119" s="501"/>
      <c r="AE119" s="501"/>
      <c r="AF119" s="501"/>
      <c r="AG119" s="501"/>
      <c r="AH119" s="501"/>
      <c r="AI119" s="501"/>
      <c r="AJ119" s="501"/>
      <c r="AK119" s="301"/>
      <c r="AL119" s="320"/>
      <c r="AM119" s="72"/>
      <c r="AN119" s="110"/>
      <c r="AO119" s="326">
        <f t="shared" si="1"/>
        <v>46061</v>
      </c>
      <c r="AP119" s="280" t="str">
        <f t="shared" si="2"/>
        <v/>
      </c>
      <c r="AQ119" s="104"/>
      <c r="AR119" s="105"/>
      <c r="AS119" s="105"/>
      <c r="AT119" s="108"/>
      <c r="AU119" s="105"/>
      <c r="AV119" s="108"/>
      <c r="AW119" s="105"/>
      <c r="AX119" s="107"/>
      <c r="AY119" s="105"/>
      <c r="AZ119" s="105"/>
      <c r="BA119" s="113"/>
      <c r="BB119" s="330"/>
    </row>
    <row r="120" spans="1:54" s="7" customFormat="1" ht="27" customHeight="1" x14ac:dyDescent="0.35">
      <c r="A120" s="298">
        <v>46062</v>
      </c>
      <c r="B120" s="499" t="s">
        <v>88</v>
      </c>
      <c r="C120" s="499"/>
      <c r="D120" s="483" t="s">
        <v>89</v>
      </c>
      <c r="E120" s="483"/>
      <c r="F120" s="483"/>
      <c r="G120" s="483"/>
      <c r="H120" s="483"/>
      <c r="I120" s="483"/>
      <c r="J120" s="483"/>
      <c r="K120" s="483"/>
      <c r="L120" s="483"/>
      <c r="M120" s="483"/>
      <c r="N120" s="483"/>
      <c r="O120" s="483"/>
      <c r="P120" s="483"/>
      <c r="Q120" s="483"/>
      <c r="R120" s="483"/>
      <c r="S120" s="483"/>
      <c r="T120" s="483"/>
      <c r="U120" s="483"/>
      <c r="V120" s="483"/>
      <c r="W120" s="483"/>
      <c r="X120" s="483"/>
      <c r="Y120" s="483"/>
      <c r="Z120" s="483"/>
      <c r="AA120" s="483"/>
      <c r="AB120" s="483"/>
      <c r="AC120" s="483"/>
      <c r="AD120" s="483"/>
      <c r="AE120" s="483"/>
      <c r="AF120" s="483"/>
      <c r="AG120" s="483"/>
      <c r="AH120" s="483"/>
      <c r="AI120" s="483"/>
      <c r="AJ120" s="483"/>
      <c r="AK120" s="299">
        <v>86.35</v>
      </c>
      <c r="AL120" s="320">
        <v>3</v>
      </c>
      <c r="AM120" s="187">
        <f t="shared" ref="AM120:AM125" si="3">IF(AL120="CO", "CO", IF(COUNTIF(AO:AO, A120)=0, 0, (8-SUMIF(AO:AO, A120, AL:AL)) / COUNTIF(AO:AO, A120)))</f>
        <v>1</v>
      </c>
      <c r="AN120" s="175" t="s">
        <v>133</v>
      </c>
      <c r="AO120" s="325">
        <f t="shared" si="1"/>
        <v>46062</v>
      </c>
      <c r="AP120" s="279" t="str">
        <f t="shared" si="2"/>
        <v>SA3.4.</v>
      </c>
      <c r="AQ120" s="178" t="s">
        <v>91</v>
      </c>
      <c r="AR120" s="179"/>
      <c r="AS120" s="251" t="s">
        <v>127</v>
      </c>
      <c r="AT120" s="102"/>
      <c r="AU120" s="179"/>
      <c r="AV120" s="71" t="s">
        <v>134</v>
      </c>
      <c r="AW120" s="179"/>
      <c r="AX120" s="102"/>
      <c r="AY120" s="179"/>
      <c r="AZ120" s="179"/>
      <c r="BA120" s="181"/>
      <c r="BB120" s="329"/>
    </row>
    <row r="121" spans="1:54" s="7" customFormat="1" ht="27" customHeight="1" x14ac:dyDescent="0.35">
      <c r="A121" s="298">
        <v>46062</v>
      </c>
      <c r="B121" s="499" t="s">
        <v>135</v>
      </c>
      <c r="C121" s="499"/>
      <c r="D121" s="483" t="s">
        <v>89</v>
      </c>
      <c r="E121" s="483"/>
      <c r="F121" s="483"/>
      <c r="G121" s="483"/>
      <c r="H121" s="483"/>
      <c r="I121" s="483"/>
      <c r="J121" s="483"/>
      <c r="K121" s="483"/>
      <c r="L121" s="483"/>
      <c r="M121" s="483"/>
      <c r="N121" s="483"/>
      <c r="O121" s="483"/>
      <c r="P121" s="483"/>
      <c r="Q121" s="483"/>
      <c r="R121" s="483"/>
      <c r="S121" s="483"/>
      <c r="T121" s="483"/>
      <c r="U121" s="483"/>
      <c r="V121" s="483"/>
      <c r="W121" s="483"/>
      <c r="X121" s="483"/>
      <c r="Y121" s="483"/>
      <c r="Z121" s="483"/>
      <c r="AA121" s="483"/>
      <c r="AB121" s="483"/>
      <c r="AC121" s="483"/>
      <c r="AD121" s="483"/>
      <c r="AE121" s="483"/>
      <c r="AF121" s="483"/>
      <c r="AG121" s="483"/>
      <c r="AH121" s="483"/>
      <c r="AI121" s="483"/>
      <c r="AJ121" s="483"/>
      <c r="AK121" s="299">
        <v>86.35</v>
      </c>
      <c r="AL121" s="320">
        <v>3</v>
      </c>
      <c r="AM121" s="187">
        <f t="shared" si="3"/>
        <v>1</v>
      </c>
      <c r="AN121" s="253" t="s">
        <v>136</v>
      </c>
      <c r="AO121" s="325">
        <f t="shared" si="1"/>
        <v>46062</v>
      </c>
      <c r="AP121" s="279" t="str">
        <f t="shared" si="2"/>
        <v>SA3.4.</v>
      </c>
      <c r="AQ121" s="178" t="s">
        <v>99</v>
      </c>
      <c r="AR121" s="7" t="s">
        <v>137</v>
      </c>
      <c r="AS121" s="251" t="s">
        <v>127</v>
      </c>
      <c r="AT121" s="304" t="s">
        <v>138</v>
      </c>
      <c r="AU121" s="179"/>
      <c r="AV121" s="71" t="s">
        <v>139</v>
      </c>
      <c r="AW121" s="179"/>
      <c r="AX121" s="102"/>
      <c r="AY121" s="179"/>
      <c r="AZ121" s="179"/>
      <c r="BA121" s="181"/>
      <c r="BB121" s="329"/>
    </row>
    <row r="122" spans="1:54" s="7" customFormat="1" ht="27" customHeight="1" x14ac:dyDescent="0.35">
      <c r="A122" s="298">
        <v>46063</v>
      </c>
      <c r="B122" s="499" t="s">
        <v>88</v>
      </c>
      <c r="C122" s="499"/>
      <c r="D122" s="483" t="s">
        <v>89</v>
      </c>
      <c r="E122" s="483"/>
      <c r="F122" s="483"/>
      <c r="G122" s="483"/>
      <c r="H122" s="483"/>
      <c r="I122" s="483"/>
      <c r="J122" s="483"/>
      <c r="K122" s="483"/>
      <c r="L122" s="483"/>
      <c r="M122" s="483"/>
      <c r="N122" s="483"/>
      <c r="O122" s="483"/>
      <c r="P122" s="483"/>
      <c r="Q122" s="483"/>
      <c r="R122" s="483"/>
      <c r="S122" s="483"/>
      <c r="T122" s="483"/>
      <c r="U122" s="483"/>
      <c r="V122" s="483"/>
      <c r="W122" s="483"/>
      <c r="X122" s="483"/>
      <c r="Y122" s="483"/>
      <c r="Z122" s="483"/>
      <c r="AA122" s="483"/>
      <c r="AB122" s="483"/>
      <c r="AC122" s="483"/>
      <c r="AD122" s="483"/>
      <c r="AE122" s="483"/>
      <c r="AF122" s="483"/>
      <c r="AG122" s="483"/>
      <c r="AH122" s="483"/>
      <c r="AI122" s="483"/>
      <c r="AJ122" s="483"/>
      <c r="AK122" s="299">
        <v>86.35</v>
      </c>
      <c r="AL122" s="320">
        <v>6</v>
      </c>
      <c r="AM122" s="187">
        <f t="shared" si="3"/>
        <v>2</v>
      </c>
      <c r="AN122" s="244" t="s">
        <v>140</v>
      </c>
      <c r="AO122" s="325">
        <f t="shared" si="1"/>
        <v>46063</v>
      </c>
      <c r="AP122" s="279" t="str">
        <f t="shared" si="2"/>
        <v>SA3.4.</v>
      </c>
      <c r="AQ122" s="178" t="s">
        <v>91</v>
      </c>
      <c r="AR122" s="179"/>
      <c r="AS122" s="251" t="s">
        <v>127</v>
      </c>
      <c r="AT122" s="180"/>
      <c r="AU122" s="179"/>
      <c r="AV122" s="71" t="s">
        <v>141</v>
      </c>
      <c r="AW122" s="179"/>
      <c r="AX122" s="71" t="s">
        <v>142</v>
      </c>
      <c r="AY122" s="179"/>
      <c r="AZ122" s="179"/>
      <c r="BA122" s="181"/>
      <c r="BB122" s="329"/>
    </row>
    <row r="123" spans="1:54" s="7" customFormat="1" ht="27" customHeight="1" x14ac:dyDescent="0.35">
      <c r="A123" s="298">
        <v>46064</v>
      </c>
      <c r="B123" s="499" t="s">
        <v>88</v>
      </c>
      <c r="C123" s="499"/>
      <c r="D123" s="483" t="s">
        <v>89</v>
      </c>
      <c r="E123" s="483"/>
      <c r="F123" s="483"/>
      <c r="G123" s="483"/>
      <c r="H123" s="483"/>
      <c r="I123" s="483"/>
      <c r="J123" s="483"/>
      <c r="K123" s="483"/>
      <c r="L123" s="483"/>
      <c r="M123" s="483"/>
      <c r="N123" s="483"/>
      <c r="O123" s="483"/>
      <c r="P123" s="483"/>
      <c r="Q123" s="483"/>
      <c r="R123" s="483"/>
      <c r="S123" s="483"/>
      <c r="T123" s="483"/>
      <c r="U123" s="483"/>
      <c r="V123" s="483"/>
      <c r="W123" s="483"/>
      <c r="X123" s="483"/>
      <c r="Y123" s="483"/>
      <c r="Z123" s="483"/>
      <c r="AA123" s="483"/>
      <c r="AB123" s="483"/>
      <c r="AC123" s="483"/>
      <c r="AD123" s="483"/>
      <c r="AE123" s="483"/>
      <c r="AF123" s="483"/>
      <c r="AG123" s="483"/>
      <c r="AH123" s="483"/>
      <c r="AI123" s="483"/>
      <c r="AJ123" s="483"/>
      <c r="AK123" s="299">
        <v>86.35</v>
      </c>
      <c r="AL123" s="320">
        <v>6</v>
      </c>
      <c r="AM123" s="187">
        <f t="shared" si="3"/>
        <v>2</v>
      </c>
      <c r="AN123" s="244" t="s">
        <v>124</v>
      </c>
      <c r="AO123" s="325">
        <f t="shared" si="1"/>
        <v>46064</v>
      </c>
      <c r="AP123" s="279" t="str">
        <f t="shared" si="2"/>
        <v>SA3.4.</v>
      </c>
      <c r="AQ123" s="178" t="s">
        <v>91</v>
      </c>
      <c r="AR123" s="179"/>
      <c r="AS123" s="179" t="s">
        <v>125</v>
      </c>
      <c r="AT123" s="180"/>
      <c r="AU123" s="179"/>
      <c r="AV123" s="102"/>
      <c r="AW123" s="179"/>
      <c r="AX123" s="102"/>
      <c r="AY123" s="179"/>
      <c r="AZ123" s="179"/>
      <c r="BA123" s="181"/>
      <c r="BB123" s="329"/>
    </row>
    <row r="124" spans="1:54" s="7" customFormat="1" ht="27" customHeight="1" x14ac:dyDescent="0.35">
      <c r="A124" s="298">
        <v>46065</v>
      </c>
      <c r="B124" s="499" t="s">
        <v>88</v>
      </c>
      <c r="C124" s="499"/>
      <c r="D124" s="483" t="s">
        <v>89</v>
      </c>
      <c r="E124" s="483"/>
      <c r="F124" s="483"/>
      <c r="G124" s="483"/>
      <c r="H124" s="483"/>
      <c r="I124" s="483"/>
      <c r="J124" s="483"/>
      <c r="K124" s="483"/>
      <c r="L124" s="483"/>
      <c r="M124" s="483"/>
      <c r="N124" s="483"/>
      <c r="O124" s="483"/>
      <c r="P124" s="483"/>
      <c r="Q124" s="483"/>
      <c r="R124" s="483"/>
      <c r="S124" s="483"/>
      <c r="T124" s="483"/>
      <c r="U124" s="483"/>
      <c r="V124" s="483"/>
      <c r="W124" s="483"/>
      <c r="X124" s="483"/>
      <c r="Y124" s="483"/>
      <c r="Z124" s="483"/>
      <c r="AA124" s="483"/>
      <c r="AB124" s="483"/>
      <c r="AC124" s="483"/>
      <c r="AD124" s="483"/>
      <c r="AE124" s="483"/>
      <c r="AF124" s="483"/>
      <c r="AG124" s="483"/>
      <c r="AH124" s="483"/>
      <c r="AI124" s="483"/>
      <c r="AJ124" s="483"/>
      <c r="AK124" s="299">
        <v>86.35</v>
      </c>
      <c r="AL124" s="320">
        <v>6</v>
      </c>
      <c r="AM124" s="187">
        <f t="shared" si="3"/>
        <v>2</v>
      </c>
      <c r="AN124" s="244" t="s">
        <v>124</v>
      </c>
      <c r="AO124" s="325">
        <f t="shared" si="1"/>
        <v>46065</v>
      </c>
      <c r="AP124" s="279" t="str">
        <f t="shared" si="2"/>
        <v>SA3.4.</v>
      </c>
      <c r="AQ124" s="178" t="s">
        <v>91</v>
      </c>
      <c r="AR124" s="183"/>
      <c r="AS124" s="179" t="s">
        <v>125</v>
      </c>
      <c r="AT124" s="180"/>
      <c r="AU124" s="179"/>
      <c r="AV124" s="180"/>
      <c r="AW124" s="179"/>
      <c r="AX124" s="102"/>
      <c r="AY124" s="179"/>
      <c r="AZ124" s="179"/>
      <c r="BA124" s="181"/>
      <c r="BB124" s="329"/>
    </row>
    <row r="125" spans="1:54" s="7" customFormat="1" ht="27" customHeight="1" x14ac:dyDescent="0.35">
      <c r="A125" s="298">
        <v>46066</v>
      </c>
      <c r="B125" s="499" t="s">
        <v>88</v>
      </c>
      <c r="C125" s="499"/>
      <c r="D125" s="483"/>
      <c r="E125" s="483"/>
      <c r="F125" s="483"/>
      <c r="G125" s="483"/>
      <c r="H125" s="483"/>
      <c r="I125" s="483"/>
      <c r="J125" s="483"/>
      <c r="K125" s="483"/>
      <c r="L125" s="483"/>
      <c r="M125" s="483"/>
      <c r="N125" s="483"/>
      <c r="O125" s="483"/>
      <c r="P125" s="483"/>
      <c r="Q125" s="483"/>
      <c r="R125" s="483"/>
      <c r="S125" s="483"/>
      <c r="T125" s="483"/>
      <c r="U125" s="483"/>
      <c r="V125" s="483"/>
      <c r="W125" s="483"/>
      <c r="X125" s="483"/>
      <c r="Y125" s="483"/>
      <c r="Z125" s="483"/>
      <c r="AA125" s="483"/>
      <c r="AB125" s="483"/>
      <c r="AC125" s="483"/>
      <c r="AD125" s="483"/>
      <c r="AE125" s="483"/>
      <c r="AF125" s="483"/>
      <c r="AG125" s="483"/>
      <c r="AH125" s="483"/>
      <c r="AI125" s="483"/>
      <c r="AJ125" s="483"/>
      <c r="AK125" s="299">
        <v>86.35</v>
      </c>
      <c r="AL125" s="320" t="s">
        <v>5</v>
      </c>
      <c r="AM125" s="187" t="str">
        <f t="shared" si="3"/>
        <v>CO</v>
      </c>
      <c r="AN125" s="175"/>
      <c r="AO125" s="325">
        <f t="shared" si="1"/>
        <v>46066</v>
      </c>
      <c r="AP125" s="279" t="str">
        <f t="shared" si="2"/>
        <v/>
      </c>
      <c r="AQ125" s="178"/>
      <c r="AR125" s="183"/>
      <c r="AS125" s="179"/>
      <c r="AT125" s="180"/>
      <c r="AU125" s="179"/>
      <c r="AV125" s="180"/>
      <c r="AW125" s="179"/>
      <c r="AX125" s="102"/>
      <c r="AY125" s="179"/>
      <c r="AZ125" s="179"/>
      <c r="BA125" s="181"/>
      <c r="BB125" s="329"/>
    </row>
    <row r="126" spans="1:54" s="7" customFormat="1" ht="14.15" customHeight="1" x14ac:dyDescent="0.35">
      <c r="A126" s="300">
        <v>46067</v>
      </c>
      <c r="B126" s="500"/>
      <c r="C126" s="500"/>
      <c r="D126" s="501"/>
      <c r="E126" s="501"/>
      <c r="F126" s="501"/>
      <c r="G126" s="501"/>
      <c r="H126" s="501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1"/>
      <c r="X126" s="501"/>
      <c r="Y126" s="501"/>
      <c r="Z126" s="501"/>
      <c r="AA126" s="501"/>
      <c r="AB126" s="501"/>
      <c r="AC126" s="501"/>
      <c r="AD126" s="501"/>
      <c r="AE126" s="501"/>
      <c r="AF126" s="501"/>
      <c r="AG126" s="501"/>
      <c r="AH126" s="501"/>
      <c r="AI126" s="501"/>
      <c r="AJ126" s="501"/>
      <c r="AK126" s="301"/>
      <c r="AL126" s="320"/>
      <c r="AM126" s="67"/>
      <c r="AN126" s="110"/>
      <c r="AO126" s="326">
        <f t="shared" si="1"/>
        <v>46067</v>
      </c>
      <c r="AP126" s="280" t="str">
        <f t="shared" si="2"/>
        <v/>
      </c>
      <c r="AQ126" s="104"/>
      <c r="AR126" s="105"/>
      <c r="AS126" s="105"/>
      <c r="AT126" s="108"/>
      <c r="AU126" s="105"/>
      <c r="AV126" s="305"/>
      <c r="AW126" s="105"/>
      <c r="AX126" s="107"/>
      <c r="AY126" s="105"/>
      <c r="AZ126" s="105"/>
      <c r="BA126" s="113"/>
      <c r="BB126" s="330"/>
    </row>
    <row r="127" spans="1:54" s="7" customFormat="1" ht="14.15" customHeight="1" x14ac:dyDescent="0.35">
      <c r="A127" s="300">
        <v>46068</v>
      </c>
      <c r="B127" s="500"/>
      <c r="C127" s="500"/>
      <c r="D127" s="501"/>
      <c r="E127" s="501"/>
      <c r="F127" s="501"/>
      <c r="G127" s="501"/>
      <c r="H127" s="501"/>
      <c r="I127" s="501"/>
      <c r="J127" s="501"/>
      <c r="K127" s="501"/>
      <c r="L127" s="501"/>
      <c r="M127" s="501"/>
      <c r="N127" s="501"/>
      <c r="O127" s="501"/>
      <c r="P127" s="501"/>
      <c r="Q127" s="501"/>
      <c r="R127" s="501"/>
      <c r="S127" s="501"/>
      <c r="T127" s="501"/>
      <c r="U127" s="501"/>
      <c r="V127" s="501"/>
      <c r="W127" s="501"/>
      <c r="X127" s="501"/>
      <c r="Y127" s="501"/>
      <c r="Z127" s="501"/>
      <c r="AA127" s="501"/>
      <c r="AB127" s="501"/>
      <c r="AC127" s="501"/>
      <c r="AD127" s="501"/>
      <c r="AE127" s="501"/>
      <c r="AF127" s="501"/>
      <c r="AG127" s="501"/>
      <c r="AH127" s="501"/>
      <c r="AI127" s="501"/>
      <c r="AJ127" s="501"/>
      <c r="AK127" s="301"/>
      <c r="AL127" s="320"/>
      <c r="AM127" s="72"/>
      <c r="AN127" s="110"/>
      <c r="AO127" s="326">
        <f t="shared" si="1"/>
        <v>46068</v>
      </c>
      <c r="AP127" s="280" t="str">
        <f t="shared" si="2"/>
        <v/>
      </c>
      <c r="AQ127" s="104"/>
      <c r="AR127" s="138"/>
      <c r="AS127" s="105"/>
      <c r="AT127" s="108"/>
      <c r="AU127" s="105"/>
      <c r="AV127" s="108"/>
      <c r="AW127" s="105"/>
      <c r="AX127" s="107"/>
      <c r="AY127" s="105"/>
      <c r="AZ127" s="105"/>
      <c r="BA127" s="113"/>
      <c r="BB127" s="330"/>
    </row>
    <row r="128" spans="1:54" s="7" customFormat="1" ht="27" customHeight="1" x14ac:dyDescent="0.35">
      <c r="A128" s="298">
        <v>46069</v>
      </c>
      <c r="B128" s="499" t="s">
        <v>88</v>
      </c>
      <c r="C128" s="499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483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483"/>
      <c r="AE128" s="483"/>
      <c r="AF128" s="483"/>
      <c r="AG128" s="483"/>
      <c r="AH128" s="483"/>
      <c r="AI128" s="483"/>
      <c r="AJ128" s="483"/>
      <c r="AK128" s="299">
        <v>86.35</v>
      </c>
      <c r="AL128" s="320" t="s">
        <v>5</v>
      </c>
      <c r="AM128" s="174" t="str">
        <f>IF(AL128="CO", "CO", IF(COUNTIF(AO:AO, A128)=0, 0, (8-SUMIF(AO:AO, A128, AL:AL)) / COUNTIF(AO:AO, A128)))</f>
        <v>CO</v>
      </c>
      <c r="AN128" s="175"/>
      <c r="AO128" s="325">
        <f t="shared" si="1"/>
        <v>46069</v>
      </c>
      <c r="AP128" s="279" t="str">
        <f t="shared" si="2"/>
        <v/>
      </c>
      <c r="AQ128" s="178"/>
      <c r="AR128" s="179"/>
      <c r="AS128" s="179"/>
      <c r="AT128" s="103"/>
      <c r="AU128" s="179"/>
      <c r="AV128" s="180"/>
      <c r="AW128" s="179"/>
      <c r="AX128" s="102"/>
      <c r="AY128" s="179"/>
      <c r="AZ128" s="179"/>
      <c r="BA128" s="181"/>
      <c r="BB128" s="329"/>
    </row>
    <row r="129" spans="1:54" s="7" customFormat="1" ht="27" customHeight="1" x14ac:dyDescent="0.35">
      <c r="A129" s="298">
        <v>46070</v>
      </c>
      <c r="B129" s="499" t="s">
        <v>88</v>
      </c>
      <c r="C129" s="499"/>
      <c r="D129" s="483" t="s">
        <v>89</v>
      </c>
      <c r="E129" s="483"/>
      <c r="F129" s="483"/>
      <c r="G129" s="483"/>
      <c r="H129" s="483"/>
      <c r="I129" s="483"/>
      <c r="J129" s="483"/>
      <c r="K129" s="483"/>
      <c r="L129" s="483"/>
      <c r="M129" s="483"/>
      <c r="N129" s="483"/>
      <c r="O129" s="483"/>
      <c r="P129" s="483"/>
      <c r="Q129" s="483"/>
      <c r="R129" s="483"/>
      <c r="S129" s="483"/>
      <c r="T129" s="483"/>
      <c r="U129" s="483"/>
      <c r="V129" s="483"/>
      <c r="W129" s="483"/>
      <c r="X129" s="483"/>
      <c r="Y129" s="483"/>
      <c r="Z129" s="483"/>
      <c r="AA129" s="483"/>
      <c r="AB129" s="483"/>
      <c r="AC129" s="483"/>
      <c r="AD129" s="483"/>
      <c r="AE129" s="483"/>
      <c r="AF129" s="483"/>
      <c r="AG129" s="483"/>
      <c r="AH129" s="483"/>
      <c r="AI129" s="483"/>
      <c r="AJ129" s="483"/>
      <c r="AK129" s="299">
        <v>86.35</v>
      </c>
      <c r="AL129" s="320">
        <v>6</v>
      </c>
      <c r="AM129" s="174">
        <f>IF(AL129="CO", "CO", IF(COUNTIF(AO:AO, A129)=0, 0, (8-SUMIF(AO:AO, A129, AL:AL)) / COUNTIF(AO:AO, A129)))</f>
        <v>2</v>
      </c>
      <c r="AN129" s="254" t="s">
        <v>143</v>
      </c>
      <c r="AO129" s="327">
        <f t="shared" si="1"/>
        <v>46070</v>
      </c>
      <c r="AP129" s="279" t="str">
        <f t="shared" si="2"/>
        <v>SA3.4.</v>
      </c>
      <c r="AQ129" s="178" t="s">
        <v>99</v>
      </c>
      <c r="AR129" s="179" t="s">
        <v>144</v>
      </c>
      <c r="AS129" s="179" t="s">
        <v>125</v>
      </c>
      <c r="AT129" s="180"/>
      <c r="AU129" s="179"/>
      <c r="AV129" s="180"/>
      <c r="AW129" s="179"/>
      <c r="AX129" s="103"/>
      <c r="AY129" s="179"/>
      <c r="AZ129" s="179"/>
      <c r="BA129" s="181"/>
      <c r="BB129" s="329"/>
    </row>
    <row r="130" spans="1:54" s="7" customFormat="1" ht="27" customHeight="1" x14ac:dyDescent="0.35">
      <c r="A130" s="298">
        <v>46071</v>
      </c>
      <c r="B130" s="499" t="s">
        <v>88</v>
      </c>
      <c r="C130" s="499"/>
      <c r="D130" s="483" t="s">
        <v>89</v>
      </c>
      <c r="E130" s="483"/>
      <c r="F130" s="483"/>
      <c r="G130" s="483"/>
      <c r="H130" s="483"/>
      <c r="I130" s="483"/>
      <c r="J130" s="483"/>
      <c r="K130" s="483"/>
      <c r="L130" s="483"/>
      <c r="M130" s="483"/>
      <c r="N130" s="483"/>
      <c r="O130" s="483"/>
      <c r="P130" s="483"/>
      <c r="Q130" s="483"/>
      <c r="R130" s="483"/>
      <c r="S130" s="483"/>
      <c r="T130" s="483"/>
      <c r="U130" s="483"/>
      <c r="V130" s="483"/>
      <c r="W130" s="483"/>
      <c r="X130" s="483"/>
      <c r="Y130" s="483"/>
      <c r="Z130" s="483"/>
      <c r="AA130" s="483"/>
      <c r="AB130" s="483"/>
      <c r="AC130" s="483"/>
      <c r="AD130" s="483"/>
      <c r="AE130" s="483"/>
      <c r="AF130" s="483"/>
      <c r="AG130" s="483"/>
      <c r="AH130" s="483"/>
      <c r="AI130" s="483"/>
      <c r="AJ130" s="483"/>
      <c r="AK130" s="299">
        <v>86.35</v>
      </c>
      <c r="AL130" s="320">
        <v>6</v>
      </c>
      <c r="AM130" s="174">
        <f>IF(AL130="CO", "CO", IF(COUNTIF(AO:AO, A130)=0, 0, (8-SUMIF(AO:AO, A130, AL:AL)) / COUNTIF(AO:AO, A130)))</f>
        <v>2</v>
      </c>
      <c r="AN130" s="254" t="s">
        <v>143</v>
      </c>
      <c r="AO130" s="327">
        <f t="shared" si="1"/>
        <v>46071</v>
      </c>
      <c r="AP130" s="279" t="str">
        <f t="shared" si="2"/>
        <v>SA3.4.</v>
      </c>
      <c r="AQ130" s="178" t="s">
        <v>99</v>
      </c>
      <c r="AR130" s="179" t="s">
        <v>144</v>
      </c>
      <c r="AS130" s="251" t="s">
        <v>127</v>
      </c>
      <c r="AT130" s="180"/>
      <c r="AU130" s="179"/>
      <c r="AV130" s="252" t="s">
        <v>145</v>
      </c>
      <c r="AW130" s="179"/>
      <c r="AX130" s="102"/>
      <c r="AY130" s="179"/>
      <c r="AZ130" s="179"/>
      <c r="BA130" s="181"/>
      <c r="BB130" s="329"/>
    </row>
    <row r="131" spans="1:54" s="7" customFormat="1" ht="27" customHeight="1" x14ac:dyDescent="0.35">
      <c r="A131" s="298">
        <v>46072</v>
      </c>
      <c r="B131" s="499" t="s">
        <v>88</v>
      </c>
      <c r="C131" s="499"/>
      <c r="D131" s="483" t="s">
        <v>89</v>
      </c>
      <c r="E131" s="483"/>
      <c r="F131" s="483"/>
      <c r="G131" s="483"/>
      <c r="H131" s="483"/>
      <c r="I131" s="483"/>
      <c r="J131" s="483"/>
      <c r="K131" s="483"/>
      <c r="L131" s="483"/>
      <c r="M131" s="483"/>
      <c r="N131" s="483"/>
      <c r="O131" s="483"/>
      <c r="P131" s="483"/>
      <c r="Q131" s="483"/>
      <c r="R131" s="483"/>
      <c r="S131" s="483"/>
      <c r="T131" s="483"/>
      <c r="U131" s="483"/>
      <c r="V131" s="483"/>
      <c r="W131" s="483"/>
      <c r="X131" s="483"/>
      <c r="Y131" s="483"/>
      <c r="Z131" s="483"/>
      <c r="AA131" s="483"/>
      <c r="AB131" s="483"/>
      <c r="AC131" s="483"/>
      <c r="AD131" s="483"/>
      <c r="AE131" s="483"/>
      <c r="AF131" s="483"/>
      <c r="AG131" s="483"/>
      <c r="AH131" s="483"/>
      <c r="AI131" s="483"/>
      <c r="AJ131" s="483"/>
      <c r="AK131" s="299">
        <v>86.35</v>
      </c>
      <c r="AL131" s="320">
        <v>6</v>
      </c>
      <c r="AM131" s="174">
        <f>IF(AL131="CO", "CO", IF(COUNTIF(AO:AO, A131)=0, 0, (8-SUMIF(AO:AO, A131, AL:AL)) / COUNTIF(AO:AO, A131)))</f>
        <v>2</v>
      </c>
      <c r="AN131" s="245" t="s">
        <v>124</v>
      </c>
      <c r="AO131" s="327">
        <f t="shared" si="1"/>
        <v>46072</v>
      </c>
      <c r="AP131" s="279" t="str">
        <f t="shared" si="2"/>
        <v>SA3.4.</v>
      </c>
      <c r="AQ131" s="178" t="s">
        <v>91</v>
      </c>
      <c r="AR131" s="179"/>
      <c r="AS131" s="179" t="s">
        <v>125</v>
      </c>
      <c r="AT131" s="103"/>
      <c r="AU131" s="179"/>
      <c r="AV131" s="103"/>
      <c r="AW131" s="179"/>
      <c r="AX131" s="102"/>
      <c r="AY131" s="179"/>
      <c r="AZ131" s="179"/>
      <c r="BA131" s="181"/>
      <c r="BB131" s="329"/>
    </row>
    <row r="132" spans="1:54" s="7" customFormat="1" ht="27" customHeight="1" x14ac:dyDescent="0.35">
      <c r="A132" s="298">
        <v>46073</v>
      </c>
      <c r="B132" s="499" t="s">
        <v>88</v>
      </c>
      <c r="C132" s="499"/>
      <c r="D132" s="483" t="s">
        <v>89</v>
      </c>
      <c r="E132" s="483"/>
      <c r="F132" s="483"/>
      <c r="G132" s="483"/>
      <c r="H132" s="483"/>
      <c r="I132" s="483"/>
      <c r="J132" s="483"/>
      <c r="K132" s="483"/>
      <c r="L132" s="483"/>
      <c r="M132" s="483"/>
      <c r="N132" s="483"/>
      <c r="O132" s="483"/>
      <c r="P132" s="483"/>
      <c r="Q132" s="483"/>
      <c r="R132" s="483"/>
      <c r="S132" s="483"/>
      <c r="T132" s="483"/>
      <c r="U132" s="483"/>
      <c r="V132" s="483"/>
      <c r="W132" s="483"/>
      <c r="X132" s="483"/>
      <c r="Y132" s="483"/>
      <c r="Z132" s="483"/>
      <c r="AA132" s="483"/>
      <c r="AB132" s="483"/>
      <c r="AC132" s="483"/>
      <c r="AD132" s="483"/>
      <c r="AE132" s="483"/>
      <c r="AF132" s="483"/>
      <c r="AG132" s="483"/>
      <c r="AH132" s="483"/>
      <c r="AI132" s="483"/>
      <c r="AJ132" s="483"/>
      <c r="AK132" s="299">
        <v>86.35</v>
      </c>
      <c r="AL132" s="320">
        <v>6</v>
      </c>
      <c r="AM132" s="174">
        <f>IF(AL132="CO", "CO", IF(COUNTIF(AO:AO, A132)=0, 0, (8-SUMIF(AO:AO, A132, AL:AL)) / COUNTIF(AO:AO, A132)))</f>
        <v>2</v>
      </c>
      <c r="AN132" s="245" t="s">
        <v>124</v>
      </c>
      <c r="AO132" s="325">
        <f t="shared" si="1"/>
        <v>46073</v>
      </c>
      <c r="AP132" s="279" t="str">
        <f t="shared" si="2"/>
        <v>SA3.4.</v>
      </c>
      <c r="AQ132" s="178" t="s">
        <v>91</v>
      </c>
      <c r="AR132" s="179"/>
      <c r="AS132" s="179"/>
      <c r="AT132" s="180"/>
      <c r="AU132" s="179"/>
      <c r="AV132" s="180"/>
      <c r="AW132" s="179"/>
      <c r="AX132" s="102"/>
      <c r="AY132" s="179"/>
      <c r="AZ132" s="71"/>
      <c r="BA132" s="181"/>
      <c r="BB132" s="329"/>
    </row>
    <row r="133" spans="1:54" s="7" customFormat="1" ht="14.15" customHeight="1" x14ac:dyDescent="0.35">
      <c r="A133" s="300">
        <v>46074</v>
      </c>
      <c r="B133" s="500"/>
      <c r="C133" s="500"/>
      <c r="D133" s="501"/>
      <c r="E133" s="501"/>
      <c r="F133" s="501"/>
      <c r="G133" s="501"/>
      <c r="H133" s="501"/>
      <c r="I133" s="501"/>
      <c r="J133" s="501"/>
      <c r="K133" s="501"/>
      <c r="L133" s="501"/>
      <c r="M133" s="501"/>
      <c r="N133" s="501"/>
      <c r="O133" s="501"/>
      <c r="P133" s="501"/>
      <c r="Q133" s="501"/>
      <c r="R133" s="501"/>
      <c r="S133" s="501"/>
      <c r="T133" s="501"/>
      <c r="U133" s="501"/>
      <c r="V133" s="501"/>
      <c r="W133" s="501"/>
      <c r="X133" s="501"/>
      <c r="Y133" s="501"/>
      <c r="Z133" s="501"/>
      <c r="AA133" s="501"/>
      <c r="AB133" s="501"/>
      <c r="AC133" s="501"/>
      <c r="AD133" s="501"/>
      <c r="AE133" s="501"/>
      <c r="AF133" s="501"/>
      <c r="AG133" s="501"/>
      <c r="AH133" s="501"/>
      <c r="AI133" s="501"/>
      <c r="AJ133" s="501"/>
      <c r="AK133" s="301"/>
      <c r="AL133" s="320"/>
      <c r="AM133" s="72"/>
      <c r="AN133" s="26"/>
      <c r="AO133" s="326">
        <f t="shared" si="1"/>
        <v>46074</v>
      </c>
      <c r="AP133" s="280" t="str">
        <f t="shared" si="2"/>
        <v/>
      </c>
      <c r="AQ133" s="104"/>
      <c r="AR133" s="105"/>
      <c r="AS133" s="105"/>
      <c r="AT133" s="108"/>
      <c r="AU133" s="105"/>
      <c r="AV133" s="108"/>
      <c r="AW133" s="105"/>
      <c r="AX133" s="107"/>
      <c r="AY133" s="105"/>
      <c r="AZ133" s="306"/>
      <c r="BA133" s="113"/>
      <c r="BB133" s="330"/>
    </row>
    <row r="134" spans="1:54" s="7" customFormat="1" ht="14.15" customHeight="1" x14ac:dyDescent="0.35">
      <c r="A134" s="300">
        <v>46075</v>
      </c>
      <c r="B134" s="500"/>
      <c r="C134" s="500"/>
      <c r="D134" s="501"/>
      <c r="E134" s="501"/>
      <c r="F134" s="501"/>
      <c r="G134" s="501"/>
      <c r="H134" s="501"/>
      <c r="I134" s="501"/>
      <c r="J134" s="501"/>
      <c r="K134" s="501"/>
      <c r="L134" s="501"/>
      <c r="M134" s="501"/>
      <c r="N134" s="501"/>
      <c r="O134" s="501"/>
      <c r="P134" s="501"/>
      <c r="Q134" s="501"/>
      <c r="R134" s="501"/>
      <c r="S134" s="501"/>
      <c r="T134" s="501"/>
      <c r="U134" s="501"/>
      <c r="V134" s="501"/>
      <c r="W134" s="501"/>
      <c r="X134" s="501"/>
      <c r="Y134" s="501"/>
      <c r="Z134" s="501"/>
      <c r="AA134" s="501"/>
      <c r="AB134" s="501"/>
      <c r="AC134" s="501"/>
      <c r="AD134" s="501"/>
      <c r="AE134" s="501"/>
      <c r="AF134" s="501"/>
      <c r="AG134" s="501"/>
      <c r="AH134" s="501"/>
      <c r="AI134" s="501"/>
      <c r="AJ134" s="501"/>
      <c r="AK134" s="301"/>
      <c r="AL134" s="320"/>
      <c r="AM134" s="72"/>
      <c r="AN134" s="26"/>
      <c r="AO134" s="326">
        <f t="shared" si="1"/>
        <v>46075</v>
      </c>
      <c r="AP134" s="280" t="str">
        <f t="shared" si="2"/>
        <v/>
      </c>
      <c r="AQ134" s="104"/>
      <c r="AR134" s="138"/>
      <c r="AS134" s="105"/>
      <c r="AT134" s="108"/>
      <c r="AU134" s="105"/>
      <c r="AV134" s="307"/>
      <c r="AW134" s="105"/>
      <c r="AX134" s="107"/>
      <c r="AY134" s="105"/>
      <c r="AZ134" s="306"/>
      <c r="BA134" s="113"/>
      <c r="BB134" s="330"/>
    </row>
    <row r="135" spans="1:54" s="7" customFormat="1" ht="27" customHeight="1" x14ac:dyDescent="0.35">
      <c r="A135" s="298">
        <v>46076</v>
      </c>
      <c r="B135" s="499" t="s">
        <v>88</v>
      </c>
      <c r="C135" s="499"/>
      <c r="D135" s="483" t="s">
        <v>89</v>
      </c>
      <c r="E135" s="483"/>
      <c r="F135" s="483"/>
      <c r="G135" s="483"/>
      <c r="H135" s="483"/>
      <c r="I135" s="483"/>
      <c r="J135" s="483"/>
      <c r="K135" s="483"/>
      <c r="L135" s="483"/>
      <c r="M135" s="483"/>
      <c r="N135" s="483"/>
      <c r="O135" s="483"/>
      <c r="P135" s="483"/>
      <c r="Q135" s="483"/>
      <c r="R135" s="483"/>
      <c r="S135" s="483"/>
      <c r="T135" s="483"/>
      <c r="U135" s="483"/>
      <c r="V135" s="483"/>
      <c r="W135" s="483"/>
      <c r="X135" s="483"/>
      <c r="Y135" s="483"/>
      <c r="Z135" s="483"/>
      <c r="AA135" s="483"/>
      <c r="AB135" s="483"/>
      <c r="AC135" s="483"/>
      <c r="AD135" s="483"/>
      <c r="AE135" s="483"/>
      <c r="AF135" s="483"/>
      <c r="AG135" s="483"/>
      <c r="AH135" s="483"/>
      <c r="AI135" s="483"/>
      <c r="AJ135" s="483"/>
      <c r="AK135" s="299">
        <v>86.35</v>
      </c>
      <c r="AL135" s="320">
        <v>2</v>
      </c>
      <c r="AM135" s="174">
        <f t="shared" ref="AM135:AM140" si="4">IF(AL135="CO", "CO", IF(COUNTIF(AO:AO, A135)=0, 0, (8-SUMIF(AO:AO, A135, AL:AL)) / COUNTIF(AO:AO, A135)))</f>
        <v>6</v>
      </c>
      <c r="AN135" s="189" t="s">
        <v>146</v>
      </c>
      <c r="AO135" s="325">
        <f t="shared" si="1"/>
        <v>46076</v>
      </c>
      <c r="AP135" s="279" t="str">
        <f t="shared" si="2"/>
        <v>SA3.4.</v>
      </c>
      <c r="AQ135" s="178" t="s">
        <v>91</v>
      </c>
      <c r="AR135" s="183"/>
      <c r="AS135" s="251" t="s">
        <v>127</v>
      </c>
      <c r="AT135" s="180"/>
      <c r="AU135" s="179"/>
      <c r="AV135" s="341" t="s">
        <v>147</v>
      </c>
      <c r="AW135" s="179"/>
      <c r="AX135" s="102"/>
      <c r="AY135" s="179"/>
      <c r="AZ135" s="71"/>
      <c r="BA135" s="181"/>
      <c r="BB135" s="329"/>
    </row>
    <row r="136" spans="1:54" s="7" customFormat="1" ht="27" customHeight="1" x14ac:dyDescent="0.35">
      <c r="A136" s="298">
        <v>46077</v>
      </c>
      <c r="B136" s="499" t="s">
        <v>88</v>
      </c>
      <c r="C136" s="499"/>
      <c r="D136" s="483" t="s">
        <v>89</v>
      </c>
      <c r="E136" s="483"/>
      <c r="F136" s="483"/>
      <c r="G136" s="483"/>
      <c r="H136" s="483"/>
      <c r="I136" s="483"/>
      <c r="J136" s="483"/>
      <c r="K136" s="483"/>
      <c r="L136" s="483"/>
      <c r="M136" s="483"/>
      <c r="N136" s="483"/>
      <c r="O136" s="483"/>
      <c r="P136" s="483"/>
      <c r="Q136" s="483"/>
      <c r="R136" s="483"/>
      <c r="S136" s="483"/>
      <c r="T136" s="483"/>
      <c r="U136" s="483"/>
      <c r="V136" s="483"/>
      <c r="W136" s="483"/>
      <c r="X136" s="483"/>
      <c r="Y136" s="483"/>
      <c r="Z136" s="483"/>
      <c r="AA136" s="483"/>
      <c r="AB136" s="483"/>
      <c r="AC136" s="483"/>
      <c r="AD136" s="483"/>
      <c r="AE136" s="483"/>
      <c r="AF136" s="483"/>
      <c r="AG136" s="483"/>
      <c r="AH136" s="483"/>
      <c r="AI136" s="483"/>
      <c r="AJ136" s="483"/>
      <c r="AK136" s="299">
        <v>86.35</v>
      </c>
      <c r="AL136" s="320">
        <v>6</v>
      </c>
      <c r="AM136" s="187">
        <f t="shared" si="4"/>
        <v>2</v>
      </c>
      <c r="AN136" s="244" t="s">
        <v>124</v>
      </c>
      <c r="AO136" s="325">
        <f t="shared" si="1"/>
        <v>46077</v>
      </c>
      <c r="AP136" s="279" t="str">
        <f t="shared" si="2"/>
        <v>SA3.4.</v>
      </c>
      <c r="AQ136" s="178" t="s">
        <v>91</v>
      </c>
      <c r="AR136" s="179"/>
      <c r="AS136" s="251" t="s">
        <v>127</v>
      </c>
      <c r="AT136" s="180"/>
      <c r="AU136" s="179"/>
      <c r="AV136" s="257" t="s">
        <v>148</v>
      </c>
      <c r="AW136" s="179"/>
      <c r="AX136" s="102"/>
      <c r="AY136" s="179"/>
      <c r="AZ136" s="179"/>
      <c r="BA136" s="181"/>
      <c r="BB136" s="329"/>
    </row>
    <row r="137" spans="1:54" s="7" customFormat="1" ht="27" customHeight="1" x14ac:dyDescent="0.35">
      <c r="A137" s="298">
        <v>46078</v>
      </c>
      <c r="B137" s="499" t="s">
        <v>88</v>
      </c>
      <c r="C137" s="499"/>
      <c r="D137" s="483" t="s">
        <v>89</v>
      </c>
      <c r="E137" s="483"/>
      <c r="F137" s="483"/>
      <c r="G137" s="483"/>
      <c r="H137" s="483"/>
      <c r="I137" s="483"/>
      <c r="J137" s="483"/>
      <c r="K137" s="483"/>
      <c r="L137" s="483"/>
      <c r="M137" s="483"/>
      <c r="N137" s="483"/>
      <c r="O137" s="483"/>
      <c r="P137" s="483"/>
      <c r="Q137" s="483"/>
      <c r="R137" s="483"/>
      <c r="S137" s="483"/>
      <c r="T137" s="483"/>
      <c r="U137" s="483"/>
      <c r="V137" s="483"/>
      <c r="W137" s="483"/>
      <c r="X137" s="483"/>
      <c r="Y137" s="483"/>
      <c r="Z137" s="483"/>
      <c r="AA137" s="483"/>
      <c r="AB137" s="483"/>
      <c r="AC137" s="483"/>
      <c r="AD137" s="483"/>
      <c r="AE137" s="483"/>
      <c r="AF137" s="483"/>
      <c r="AG137" s="483"/>
      <c r="AH137" s="483"/>
      <c r="AI137" s="483"/>
      <c r="AJ137" s="483"/>
      <c r="AK137" s="299">
        <v>86.35</v>
      </c>
      <c r="AL137" s="320">
        <v>8</v>
      </c>
      <c r="AM137" s="187">
        <f t="shared" si="4"/>
        <v>0</v>
      </c>
      <c r="AN137" s="255" t="s">
        <v>149</v>
      </c>
      <c r="AO137" s="325">
        <f t="shared" si="1"/>
        <v>46078</v>
      </c>
      <c r="AP137" s="279" t="str">
        <f t="shared" si="2"/>
        <v>SA3.4.</v>
      </c>
      <c r="AQ137" s="178" t="s">
        <v>91</v>
      </c>
      <c r="AR137" s="179"/>
      <c r="AS137" s="179" t="s">
        <v>125</v>
      </c>
      <c r="AT137" s="180"/>
      <c r="AU137" s="179"/>
      <c r="AV137" s="180"/>
      <c r="AW137" s="179"/>
      <c r="AX137" s="102"/>
      <c r="AY137" s="179"/>
      <c r="AZ137" s="179"/>
      <c r="BA137" s="181"/>
      <c r="BB137" s="329"/>
    </row>
    <row r="138" spans="1:54" s="7" customFormat="1" ht="27" customHeight="1" x14ac:dyDescent="0.35">
      <c r="A138" s="298">
        <v>46079</v>
      </c>
      <c r="B138" s="499" t="s">
        <v>88</v>
      </c>
      <c r="C138" s="499"/>
      <c r="D138" s="483" t="s">
        <v>89</v>
      </c>
      <c r="E138" s="483"/>
      <c r="F138" s="483"/>
      <c r="G138" s="483"/>
      <c r="H138" s="483"/>
      <c r="I138" s="483"/>
      <c r="J138" s="483"/>
      <c r="K138" s="483"/>
      <c r="L138" s="483"/>
      <c r="M138" s="483"/>
      <c r="N138" s="483"/>
      <c r="O138" s="483"/>
      <c r="P138" s="483"/>
      <c r="Q138" s="483"/>
      <c r="R138" s="483"/>
      <c r="S138" s="483"/>
      <c r="T138" s="483"/>
      <c r="U138" s="483"/>
      <c r="V138" s="483"/>
      <c r="W138" s="483"/>
      <c r="X138" s="483"/>
      <c r="Y138" s="483"/>
      <c r="Z138" s="483"/>
      <c r="AA138" s="483"/>
      <c r="AB138" s="483"/>
      <c r="AC138" s="483"/>
      <c r="AD138" s="483"/>
      <c r="AE138" s="483"/>
      <c r="AF138" s="483"/>
      <c r="AG138" s="483"/>
      <c r="AH138" s="483"/>
      <c r="AI138" s="483"/>
      <c r="AJ138" s="483"/>
      <c r="AK138" s="299">
        <v>86.35</v>
      </c>
      <c r="AL138" s="320">
        <v>8</v>
      </c>
      <c r="AM138" s="187">
        <f t="shared" si="4"/>
        <v>0</v>
      </c>
      <c r="AN138" s="308" t="s">
        <v>149</v>
      </c>
      <c r="AO138" s="325">
        <f t="shared" si="1"/>
        <v>46079</v>
      </c>
      <c r="AP138" s="279" t="str">
        <f t="shared" si="2"/>
        <v>SA3.4.</v>
      </c>
      <c r="AQ138" s="178" t="s">
        <v>91</v>
      </c>
      <c r="AR138" s="179"/>
      <c r="AS138" s="179" t="s">
        <v>125</v>
      </c>
      <c r="AT138" s="180"/>
      <c r="AU138" s="179"/>
      <c r="AV138" s="229"/>
      <c r="AW138" s="179"/>
      <c r="AX138" s="102"/>
      <c r="AY138" s="179"/>
      <c r="AZ138" s="179"/>
      <c r="BA138" s="181"/>
      <c r="BB138" s="329"/>
    </row>
    <row r="139" spans="1:54" s="7" customFormat="1" ht="27" customHeight="1" x14ac:dyDescent="0.35">
      <c r="A139" s="298">
        <v>46080</v>
      </c>
      <c r="B139" s="499" t="s">
        <v>150</v>
      </c>
      <c r="C139" s="499"/>
      <c r="D139" s="483" t="s">
        <v>89</v>
      </c>
      <c r="E139" s="483"/>
      <c r="F139" s="483"/>
      <c r="G139" s="483"/>
      <c r="H139" s="483"/>
      <c r="I139" s="483"/>
      <c r="J139" s="483"/>
      <c r="K139" s="483"/>
      <c r="L139" s="483"/>
      <c r="M139" s="483"/>
      <c r="N139" s="483"/>
      <c r="O139" s="483"/>
      <c r="P139" s="483"/>
      <c r="Q139" s="483"/>
      <c r="R139" s="483"/>
      <c r="S139" s="483"/>
      <c r="T139" s="483"/>
      <c r="U139" s="483"/>
      <c r="V139" s="483"/>
      <c r="W139" s="483"/>
      <c r="X139" s="483"/>
      <c r="Y139" s="483"/>
      <c r="Z139" s="483"/>
      <c r="AA139" s="483"/>
      <c r="AB139" s="483"/>
      <c r="AC139" s="483"/>
      <c r="AD139" s="483"/>
      <c r="AE139" s="483"/>
      <c r="AF139" s="483"/>
      <c r="AG139" s="483"/>
      <c r="AH139" s="483"/>
      <c r="AI139" s="483"/>
      <c r="AJ139" s="483"/>
      <c r="AK139" s="299">
        <v>86.35</v>
      </c>
      <c r="AL139" s="320">
        <v>4</v>
      </c>
      <c r="AM139" s="187">
        <f t="shared" si="4"/>
        <v>1</v>
      </c>
      <c r="AN139" s="255" t="s">
        <v>149</v>
      </c>
      <c r="AO139" s="325">
        <f t="shared" si="1"/>
        <v>46080</v>
      </c>
      <c r="AP139" s="279" t="str">
        <f t="shared" si="2"/>
        <v>SA3.4.</v>
      </c>
      <c r="AQ139" s="178" t="s">
        <v>91</v>
      </c>
      <c r="AR139" s="179"/>
      <c r="AS139" s="251" t="s">
        <v>127</v>
      </c>
      <c r="AT139" s="180"/>
      <c r="AU139" s="179"/>
      <c r="AV139" s="256" t="s">
        <v>151</v>
      </c>
      <c r="AW139" s="179"/>
      <c r="AX139" s="102"/>
      <c r="AY139" s="179"/>
      <c r="AZ139" s="179"/>
      <c r="BA139" s="181"/>
      <c r="BB139" s="329"/>
    </row>
    <row r="140" spans="1:54" s="7" customFormat="1" ht="27" customHeight="1" x14ac:dyDescent="0.35">
      <c r="A140" s="298">
        <v>46080</v>
      </c>
      <c r="B140" s="499" t="s">
        <v>88</v>
      </c>
      <c r="C140" s="499"/>
      <c r="D140" s="483" t="s">
        <v>89</v>
      </c>
      <c r="E140" s="483"/>
      <c r="F140" s="483"/>
      <c r="G140" s="483"/>
      <c r="H140" s="483"/>
      <c r="I140" s="483"/>
      <c r="J140" s="483"/>
      <c r="K140" s="483"/>
      <c r="L140" s="483"/>
      <c r="M140" s="483"/>
      <c r="N140" s="483"/>
      <c r="O140" s="483"/>
      <c r="P140" s="483"/>
      <c r="Q140" s="483"/>
      <c r="R140" s="483"/>
      <c r="S140" s="483"/>
      <c r="T140" s="483"/>
      <c r="U140" s="483"/>
      <c r="V140" s="483"/>
      <c r="W140" s="483"/>
      <c r="X140" s="483"/>
      <c r="Y140" s="483"/>
      <c r="Z140" s="483"/>
      <c r="AA140" s="483"/>
      <c r="AB140" s="483"/>
      <c r="AC140" s="483"/>
      <c r="AD140" s="483"/>
      <c r="AE140" s="483"/>
      <c r="AF140" s="483"/>
      <c r="AG140" s="483"/>
      <c r="AH140" s="483"/>
      <c r="AI140" s="483"/>
      <c r="AJ140" s="483"/>
      <c r="AK140" s="299">
        <v>86.35</v>
      </c>
      <c r="AL140" s="320">
        <v>2</v>
      </c>
      <c r="AM140" s="187">
        <f t="shared" si="4"/>
        <v>1</v>
      </c>
      <c r="AN140" s="175" t="s">
        <v>109</v>
      </c>
      <c r="AO140" s="325">
        <f t="shared" si="1"/>
        <v>46080</v>
      </c>
      <c r="AP140" s="279" t="str">
        <f t="shared" si="2"/>
        <v>SA3.4.</v>
      </c>
      <c r="AQ140" s="178" t="s">
        <v>91</v>
      </c>
      <c r="AR140" s="179"/>
      <c r="AS140" s="179"/>
      <c r="AT140" s="103"/>
      <c r="AU140" s="179"/>
      <c r="AV140" s="103"/>
      <c r="AW140" s="179"/>
      <c r="AX140" s="102"/>
      <c r="AY140" s="179"/>
      <c r="AZ140" s="179"/>
      <c r="BA140" s="181"/>
      <c r="BB140" s="329"/>
    </row>
    <row r="141" spans="1:54" s="7" customFormat="1" ht="14.15" customHeight="1" thickBot="1" x14ac:dyDescent="0.4">
      <c r="A141" s="302">
        <v>46081</v>
      </c>
      <c r="B141" s="647"/>
      <c r="C141" s="647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48"/>
      <c r="AB141" s="648"/>
      <c r="AC141" s="648"/>
      <c r="AD141" s="648"/>
      <c r="AE141" s="648"/>
      <c r="AF141" s="648"/>
      <c r="AG141" s="648"/>
      <c r="AH141" s="648"/>
      <c r="AI141" s="648"/>
      <c r="AJ141" s="648"/>
      <c r="AK141" s="303"/>
      <c r="AL141" s="321"/>
      <c r="AM141" s="203"/>
      <c r="AN141" s="204"/>
      <c r="AO141" s="334">
        <f t="shared" si="1"/>
        <v>46081</v>
      </c>
      <c r="AP141" s="335" t="str">
        <f t="shared" si="2"/>
        <v/>
      </c>
      <c r="AQ141" s="336"/>
      <c r="AR141" s="337"/>
      <c r="AS141" s="337"/>
      <c r="AT141" s="338"/>
      <c r="AU141" s="337"/>
      <c r="AV141" s="338"/>
      <c r="AW141" s="337"/>
      <c r="AX141" s="337"/>
      <c r="AY141" s="337"/>
      <c r="AZ141" s="337"/>
      <c r="BA141" s="339"/>
      <c r="BB141" s="340"/>
    </row>
    <row r="142" spans="1:54" s="7" customFormat="1" ht="15" customHeight="1" thickBot="1" x14ac:dyDescent="0.4">
      <c r="A142" s="484" t="s">
        <v>110</v>
      </c>
      <c r="B142" s="485"/>
      <c r="C142" s="485"/>
      <c r="D142" s="485"/>
      <c r="E142" s="485"/>
      <c r="F142" s="485"/>
      <c r="G142" s="485"/>
      <c r="H142" s="485"/>
      <c r="I142" s="485"/>
      <c r="J142" s="485"/>
      <c r="K142" s="485"/>
      <c r="L142" s="485"/>
      <c r="M142" s="485"/>
      <c r="N142" s="485"/>
      <c r="O142" s="485"/>
      <c r="P142" s="485"/>
      <c r="Q142" s="485"/>
      <c r="R142" s="485"/>
      <c r="S142" s="485"/>
      <c r="T142" s="485"/>
      <c r="U142" s="485"/>
      <c r="V142" s="485"/>
      <c r="W142" s="485"/>
      <c r="X142" s="485"/>
      <c r="Y142" s="485"/>
      <c r="Z142" s="485"/>
      <c r="AA142" s="485"/>
      <c r="AB142" s="485"/>
      <c r="AC142" s="485"/>
      <c r="AD142" s="485"/>
      <c r="AE142" s="485"/>
      <c r="AF142" s="485"/>
      <c r="AG142" s="485"/>
      <c r="AH142" s="485"/>
      <c r="AI142" s="485"/>
      <c r="AJ142" s="486"/>
      <c r="AK142" s="101"/>
      <c r="AL142" s="322">
        <f>SUM(AL112:AL141)+COUNTIF(AL112:AL141,"CO")*6</f>
        <v>120</v>
      </c>
      <c r="AM142" s="101">
        <f>SUM(AM112:AM141)+COUNTIF(AM112:AM141,"CO")*2</f>
        <v>40</v>
      </c>
      <c r="AO142" s="8"/>
      <c r="AP142" s="8"/>
      <c r="AV142" s="70"/>
    </row>
    <row r="143" spans="1:54" s="7" customFormat="1" x14ac:dyDescent="0.35">
      <c r="A143" s="487" t="s">
        <v>111</v>
      </c>
      <c r="B143" s="488"/>
      <c r="C143" s="488"/>
      <c r="D143" s="488"/>
      <c r="E143" s="488"/>
      <c r="F143" s="488"/>
      <c r="G143" s="488"/>
      <c r="H143" s="488"/>
      <c r="I143" s="488"/>
      <c r="J143" s="488"/>
      <c r="K143" s="488"/>
      <c r="L143" s="488"/>
      <c r="M143" s="488"/>
      <c r="N143" s="488"/>
      <c r="O143" s="488"/>
      <c r="P143" s="488"/>
      <c r="Q143" s="488"/>
      <c r="R143" s="488"/>
      <c r="S143" s="488"/>
      <c r="T143" s="488"/>
      <c r="U143" s="488"/>
      <c r="V143" s="488"/>
      <c r="W143" s="488"/>
      <c r="X143" s="488"/>
      <c r="Y143" s="488"/>
      <c r="Z143" s="488"/>
      <c r="AA143" s="488"/>
      <c r="AB143" s="488"/>
      <c r="AC143" s="488"/>
      <c r="AD143" s="488"/>
      <c r="AE143" s="488"/>
      <c r="AF143" s="488"/>
      <c r="AG143" s="488"/>
      <c r="AH143" s="488"/>
      <c r="AI143" s="488"/>
      <c r="AJ143" s="488"/>
      <c r="AK143" s="488"/>
      <c r="AL143" s="488"/>
      <c r="AM143" s="489"/>
      <c r="AO143" s="8"/>
      <c r="AP143" s="8"/>
      <c r="AV143" s="70"/>
    </row>
    <row r="144" spans="1:54" s="7" customFormat="1" ht="15" customHeight="1" thickBot="1" x14ac:dyDescent="0.4">
      <c r="A144" s="490"/>
      <c r="B144" s="491"/>
      <c r="C144" s="491"/>
      <c r="D144" s="491"/>
      <c r="E144" s="491"/>
      <c r="F144" s="491"/>
      <c r="G144" s="491"/>
      <c r="H144" s="491"/>
      <c r="I144" s="491"/>
      <c r="J144" s="491"/>
      <c r="K144" s="491"/>
      <c r="L144" s="491"/>
      <c r="M144" s="491"/>
      <c r="N144" s="491"/>
      <c r="O144" s="491"/>
      <c r="P144" s="491"/>
      <c r="Q144" s="491"/>
      <c r="R144" s="491"/>
      <c r="S144" s="491"/>
      <c r="T144" s="491"/>
      <c r="U144" s="491"/>
      <c r="V144" s="491"/>
      <c r="W144" s="491"/>
      <c r="X144" s="491"/>
      <c r="Y144" s="491"/>
      <c r="Z144" s="491"/>
      <c r="AA144" s="491"/>
      <c r="AB144" s="491"/>
      <c r="AC144" s="491"/>
      <c r="AD144" s="491"/>
      <c r="AE144" s="491"/>
      <c r="AF144" s="491"/>
      <c r="AG144" s="491"/>
      <c r="AH144" s="491"/>
      <c r="AI144" s="491"/>
      <c r="AJ144" s="491"/>
      <c r="AK144" s="491"/>
      <c r="AL144" s="491"/>
      <c r="AM144" s="492"/>
      <c r="AO144" s="8"/>
      <c r="AP144" s="8"/>
      <c r="AV144" s="70"/>
    </row>
    <row r="145" spans="1:48" s="7" customFormat="1" ht="27" customHeight="1" x14ac:dyDescent="0.35">
      <c r="A145" s="493" t="s">
        <v>112</v>
      </c>
      <c r="B145" s="494"/>
      <c r="C145" s="495"/>
      <c r="D145" s="496" t="s">
        <v>58</v>
      </c>
      <c r="E145" s="497"/>
      <c r="F145" s="497"/>
      <c r="G145" s="497"/>
      <c r="H145" s="497"/>
      <c r="I145" s="497"/>
      <c r="J145" s="497"/>
      <c r="K145" s="497"/>
      <c r="L145" s="497"/>
      <c r="M145" s="497"/>
      <c r="N145" s="497"/>
      <c r="O145" s="497"/>
      <c r="P145" s="497"/>
      <c r="Q145" s="497"/>
      <c r="R145" s="497"/>
      <c r="S145" s="497"/>
      <c r="T145" s="497"/>
      <c r="U145" s="497"/>
      <c r="V145" s="497"/>
      <c r="W145" s="497"/>
      <c r="X145" s="497"/>
      <c r="Y145" s="497"/>
      <c r="Z145" s="497"/>
      <c r="AA145" s="497"/>
      <c r="AB145" s="497"/>
      <c r="AC145" s="497"/>
      <c r="AD145" s="497"/>
      <c r="AE145" s="497"/>
      <c r="AF145" s="497"/>
      <c r="AG145" s="497"/>
      <c r="AH145" s="497"/>
      <c r="AI145" s="497"/>
      <c r="AJ145" s="497"/>
      <c r="AK145" s="497"/>
      <c r="AL145" s="497"/>
      <c r="AM145" s="498"/>
      <c r="AO145" s="8"/>
      <c r="AP145" s="8"/>
      <c r="AV145" s="70"/>
    </row>
    <row r="146" spans="1:48" s="7" customFormat="1" ht="27" customHeight="1" x14ac:dyDescent="0.35">
      <c r="A146" s="461" t="s">
        <v>113</v>
      </c>
      <c r="B146" s="462"/>
      <c r="C146" s="463"/>
      <c r="D146" s="467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  <c r="AA146" s="468"/>
      <c r="AB146" s="468"/>
      <c r="AC146" s="468"/>
      <c r="AD146" s="468"/>
      <c r="AE146" s="468"/>
      <c r="AF146" s="468"/>
      <c r="AG146" s="468"/>
      <c r="AH146" s="468"/>
      <c r="AI146" s="468"/>
      <c r="AJ146" s="468"/>
      <c r="AK146" s="468"/>
      <c r="AL146" s="468"/>
      <c r="AM146" s="469"/>
      <c r="AO146" s="8"/>
      <c r="AP146" s="8"/>
      <c r="AV146" s="70"/>
    </row>
    <row r="147" spans="1:48" s="7" customFormat="1" ht="27" customHeight="1" x14ac:dyDescent="0.35">
      <c r="A147" s="461" t="s">
        <v>114</v>
      </c>
      <c r="B147" s="462"/>
      <c r="C147" s="463"/>
      <c r="D147" s="476">
        <v>46080</v>
      </c>
      <c r="E147" s="477"/>
      <c r="F147" s="477"/>
      <c r="G147" s="477"/>
      <c r="H147" s="477"/>
      <c r="I147" s="477"/>
      <c r="J147" s="477"/>
      <c r="K147" s="477"/>
      <c r="L147" s="477"/>
      <c r="M147" s="477"/>
      <c r="N147" s="477"/>
      <c r="O147" s="477"/>
      <c r="P147" s="477"/>
      <c r="Q147" s="477"/>
      <c r="R147" s="477"/>
      <c r="S147" s="477"/>
      <c r="T147" s="477"/>
      <c r="U147" s="477"/>
      <c r="V147" s="477"/>
      <c r="W147" s="477"/>
      <c r="X147" s="477"/>
      <c r="Y147" s="477"/>
      <c r="Z147" s="477"/>
      <c r="AA147" s="477"/>
      <c r="AB147" s="477"/>
      <c r="AC147" s="477"/>
      <c r="AD147" s="477"/>
      <c r="AE147" s="477"/>
      <c r="AF147" s="477"/>
      <c r="AG147" s="477"/>
      <c r="AH147" s="477"/>
      <c r="AI147" s="477"/>
      <c r="AJ147" s="477"/>
      <c r="AK147" s="477"/>
      <c r="AL147" s="477"/>
      <c r="AM147" s="478"/>
      <c r="AO147" s="8"/>
      <c r="AP147" s="8"/>
      <c r="AV147" s="70"/>
    </row>
    <row r="148" spans="1:48" s="7" customFormat="1" x14ac:dyDescent="0.35">
      <c r="A148" s="461"/>
      <c r="B148" s="462"/>
      <c r="C148" s="463"/>
      <c r="D148" s="479"/>
      <c r="E148" s="480"/>
      <c r="F148" s="480"/>
      <c r="G148" s="480"/>
      <c r="H148" s="480"/>
      <c r="I148" s="480"/>
      <c r="J148" s="480"/>
      <c r="K148" s="480"/>
      <c r="L148" s="480"/>
      <c r="M148" s="480"/>
      <c r="N148" s="480"/>
      <c r="O148" s="480"/>
      <c r="P148" s="480"/>
      <c r="Q148" s="480"/>
      <c r="R148" s="480"/>
      <c r="S148" s="480"/>
      <c r="T148" s="480"/>
      <c r="U148" s="480"/>
      <c r="V148" s="480"/>
      <c r="W148" s="480"/>
      <c r="X148" s="480"/>
      <c r="Y148" s="480"/>
      <c r="Z148" s="480"/>
      <c r="AA148" s="480"/>
      <c r="AB148" s="480"/>
      <c r="AC148" s="480"/>
      <c r="AD148" s="480"/>
      <c r="AE148" s="480"/>
      <c r="AF148" s="480"/>
      <c r="AG148" s="480"/>
      <c r="AH148" s="480"/>
      <c r="AI148" s="480"/>
      <c r="AJ148" s="480"/>
      <c r="AK148" s="480"/>
      <c r="AL148" s="480"/>
      <c r="AM148" s="481"/>
      <c r="AO148" s="8"/>
      <c r="AP148" s="8"/>
      <c r="AV148" s="70"/>
    </row>
    <row r="149" spans="1:48" s="7" customFormat="1" ht="27" customHeight="1" x14ac:dyDescent="0.35">
      <c r="A149" s="461" t="s">
        <v>115</v>
      </c>
      <c r="B149" s="462"/>
      <c r="C149" s="463"/>
      <c r="D149" s="464" t="s">
        <v>116</v>
      </c>
      <c r="E149" s="465"/>
      <c r="F149" s="465"/>
      <c r="G149" s="465"/>
      <c r="H149" s="465"/>
      <c r="I149" s="465"/>
      <c r="J149" s="465"/>
      <c r="K149" s="465"/>
      <c r="L149" s="465"/>
      <c r="M149" s="465"/>
      <c r="N149" s="465"/>
      <c r="O149" s="465"/>
      <c r="P149" s="465"/>
      <c r="Q149" s="465"/>
      <c r="R149" s="465"/>
      <c r="S149" s="465"/>
      <c r="T149" s="465"/>
      <c r="U149" s="465"/>
      <c r="V149" s="465"/>
      <c r="W149" s="465"/>
      <c r="X149" s="465"/>
      <c r="Y149" s="465"/>
      <c r="Z149" s="465"/>
      <c r="AA149" s="465"/>
      <c r="AB149" s="465"/>
      <c r="AC149" s="465"/>
      <c r="AD149" s="465"/>
      <c r="AE149" s="465"/>
      <c r="AF149" s="465"/>
      <c r="AG149" s="465"/>
      <c r="AH149" s="465"/>
      <c r="AI149" s="465"/>
      <c r="AJ149" s="465"/>
      <c r="AK149" s="465"/>
      <c r="AL149" s="465"/>
      <c r="AM149" s="466"/>
      <c r="AO149" s="8"/>
      <c r="AP149" s="8"/>
      <c r="AV149" s="70"/>
    </row>
    <row r="150" spans="1:48" s="7" customFormat="1" ht="27" customHeight="1" x14ac:dyDescent="0.35">
      <c r="A150" s="461" t="s">
        <v>113</v>
      </c>
      <c r="B150" s="462"/>
      <c r="C150" s="463"/>
      <c r="D150" s="467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  <c r="AA150" s="468"/>
      <c r="AB150" s="468"/>
      <c r="AC150" s="468"/>
      <c r="AD150" s="468"/>
      <c r="AE150" s="468"/>
      <c r="AF150" s="468"/>
      <c r="AG150" s="468"/>
      <c r="AH150" s="468"/>
      <c r="AI150" s="468"/>
      <c r="AJ150" s="468"/>
      <c r="AK150" s="468"/>
      <c r="AL150" s="468"/>
      <c r="AM150" s="469"/>
      <c r="AO150" s="8"/>
      <c r="AP150" s="8"/>
      <c r="AV150" s="70"/>
    </row>
    <row r="151" spans="1:48" s="7" customFormat="1" ht="27" customHeight="1" thickBot="1" x14ac:dyDescent="0.4">
      <c r="A151" s="470" t="s">
        <v>117</v>
      </c>
      <c r="B151" s="471"/>
      <c r="C151" s="472"/>
      <c r="D151" s="473">
        <v>46080</v>
      </c>
      <c r="E151" s="474"/>
      <c r="F151" s="474"/>
      <c r="G151" s="474"/>
      <c r="H151" s="474"/>
      <c r="I151" s="474"/>
      <c r="J151" s="474"/>
      <c r="K151" s="474"/>
      <c r="L151" s="474"/>
      <c r="M151" s="474"/>
      <c r="N151" s="474"/>
      <c r="O151" s="474"/>
      <c r="P151" s="474"/>
      <c r="Q151" s="474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  <c r="AL151" s="474"/>
      <c r="AM151" s="475"/>
      <c r="AO151" s="8"/>
      <c r="AP151" s="8"/>
      <c r="AV151" s="70"/>
    </row>
    <row r="152" spans="1:48" s="7" customFormat="1" x14ac:dyDescent="0.35">
      <c r="A152" s="460"/>
      <c r="B152" s="460"/>
      <c r="C152" s="460"/>
      <c r="D152" s="68"/>
      <c r="AL152" s="323"/>
      <c r="AO152" s="8"/>
      <c r="AP152" s="8"/>
      <c r="AV152" s="70"/>
    </row>
    <row r="153" spans="1:48" s="7" customFormat="1" x14ac:dyDescent="0.35">
      <c r="A153" s="16"/>
      <c r="AL153" s="323"/>
      <c r="AO153" s="8"/>
      <c r="AP153" s="8"/>
      <c r="AV153" s="70"/>
    </row>
    <row r="154" spans="1:48" s="7" customFormat="1" x14ac:dyDescent="0.35">
      <c r="A154" s="16"/>
      <c r="AL154" s="323"/>
      <c r="AO154" s="8"/>
      <c r="AP154" s="8"/>
      <c r="AV154" s="70"/>
    </row>
    <row r="155" spans="1:48" s="7" customFormat="1" x14ac:dyDescent="0.35">
      <c r="A155" s="16"/>
      <c r="AL155" s="323"/>
      <c r="AO155" s="8"/>
      <c r="AP155" s="8"/>
      <c r="AV155" s="70"/>
    </row>
    <row r="156" spans="1:48" s="7" customFormat="1" x14ac:dyDescent="0.35">
      <c r="A156" s="16"/>
      <c r="AL156" s="323"/>
      <c r="AO156" s="8"/>
      <c r="AP156" s="8"/>
      <c r="AV156" s="70"/>
    </row>
    <row r="157" spans="1:48" s="7" customFormat="1" x14ac:dyDescent="0.35">
      <c r="A157" s="16"/>
      <c r="AL157" s="323"/>
      <c r="AO157" s="8"/>
      <c r="AP157" s="8"/>
      <c r="AV157" s="70"/>
    </row>
    <row r="158" spans="1:48" s="7" customFormat="1" x14ac:dyDescent="0.35">
      <c r="A158" s="16"/>
      <c r="AL158" s="323"/>
      <c r="AO158" s="8"/>
      <c r="AP158" s="8"/>
      <c r="AV158" s="70"/>
    </row>
    <row r="159" spans="1:48" s="7" customFormat="1" x14ac:dyDescent="0.35">
      <c r="A159" s="16"/>
      <c r="AL159" s="323"/>
      <c r="AO159" s="8"/>
      <c r="AP159" s="8"/>
      <c r="AV159" s="70"/>
    </row>
    <row r="160" spans="1:48" s="7" customFormat="1" x14ac:dyDescent="0.35">
      <c r="A160" s="16"/>
      <c r="AL160" s="323"/>
      <c r="AO160" s="8"/>
      <c r="AP160" s="8"/>
      <c r="AV160" s="70"/>
    </row>
    <row r="161" spans="1:48" s="7" customFormat="1" x14ac:dyDescent="0.35">
      <c r="A161" s="16"/>
      <c r="AL161" s="323"/>
      <c r="AO161" s="8"/>
      <c r="AP161" s="8"/>
      <c r="AV161" s="70"/>
    </row>
    <row r="162" spans="1:48" s="7" customFormat="1" x14ac:dyDescent="0.35">
      <c r="A162" s="16"/>
      <c r="AL162" s="323"/>
      <c r="AO162" s="8"/>
      <c r="AP162" s="8"/>
      <c r="AV162" s="70"/>
    </row>
    <row r="163" spans="1:48" s="7" customFormat="1" x14ac:dyDescent="0.35">
      <c r="A163" s="16"/>
      <c r="AL163" s="323"/>
      <c r="AO163" s="8"/>
      <c r="AP163" s="8"/>
      <c r="AV163" s="70"/>
    </row>
    <row r="164" spans="1:48" s="7" customFormat="1" x14ac:dyDescent="0.35">
      <c r="A164" s="16"/>
      <c r="AL164" s="323"/>
      <c r="AO164" s="8"/>
      <c r="AP164" s="8"/>
      <c r="AV164" s="70"/>
    </row>
    <row r="165" spans="1:48" s="7" customFormat="1" x14ac:dyDescent="0.35">
      <c r="A165" s="16"/>
      <c r="AL165" s="323"/>
      <c r="AO165" s="8"/>
      <c r="AP165" s="8"/>
      <c r="AV165" s="70"/>
    </row>
    <row r="166" spans="1:48" s="7" customFormat="1" x14ac:dyDescent="0.35">
      <c r="A166" s="16"/>
      <c r="AL166" s="323"/>
      <c r="AO166" s="8"/>
      <c r="AP166" s="8"/>
      <c r="AV166" s="70"/>
    </row>
    <row r="167" spans="1:48" s="7" customFormat="1" x14ac:dyDescent="0.35">
      <c r="A167" s="16"/>
      <c r="AL167" s="323"/>
      <c r="AO167" s="8"/>
      <c r="AP167" s="8"/>
      <c r="AV167" s="70"/>
    </row>
    <row r="168" spans="1:48" s="7" customFormat="1" x14ac:dyDescent="0.35">
      <c r="A168" s="16"/>
      <c r="AL168" s="323"/>
      <c r="AO168" s="8"/>
      <c r="AP168" s="8"/>
      <c r="AV168" s="70"/>
    </row>
    <row r="169" spans="1:48" s="7" customFormat="1" x14ac:dyDescent="0.35">
      <c r="A169" s="16"/>
      <c r="AL169" s="323"/>
      <c r="AO169" s="8"/>
      <c r="AP169" s="8"/>
      <c r="AV169" s="70"/>
    </row>
    <row r="170" spans="1:48" s="7" customFormat="1" x14ac:dyDescent="0.35">
      <c r="A170" s="16"/>
      <c r="AL170" s="323"/>
      <c r="AO170" s="8"/>
      <c r="AP170" s="8"/>
      <c r="AV170" s="70"/>
    </row>
    <row r="171" spans="1:48" s="7" customFormat="1" x14ac:dyDescent="0.35">
      <c r="A171" s="16"/>
      <c r="AL171" s="323"/>
      <c r="AO171" s="8"/>
      <c r="AP171" s="8"/>
      <c r="AV171" s="70"/>
    </row>
    <row r="172" spans="1:48" s="7" customFormat="1" x14ac:dyDescent="0.35">
      <c r="A172" s="16"/>
      <c r="AL172" s="323"/>
      <c r="AO172" s="8"/>
      <c r="AP172" s="8"/>
      <c r="AV172" s="70"/>
    </row>
    <row r="173" spans="1:48" s="7" customFormat="1" x14ac:dyDescent="0.35">
      <c r="A173" s="16"/>
      <c r="AL173" s="323"/>
      <c r="AO173" s="8"/>
      <c r="AP173" s="8"/>
      <c r="AV173" s="70"/>
    </row>
    <row r="174" spans="1:48" s="7" customFormat="1" x14ac:dyDescent="0.35">
      <c r="A174" s="16"/>
      <c r="AL174" s="323"/>
      <c r="AO174" s="8"/>
      <c r="AP174" s="8"/>
      <c r="AV174" s="70"/>
    </row>
    <row r="175" spans="1:48" s="7" customFormat="1" x14ac:dyDescent="0.35">
      <c r="A175" s="16"/>
      <c r="AL175" s="323"/>
      <c r="AO175" s="8"/>
      <c r="AP175" s="8"/>
      <c r="AV175" s="70"/>
    </row>
    <row r="176" spans="1:48" s="7" customFormat="1" x14ac:dyDescent="0.35">
      <c r="A176" s="16"/>
      <c r="AL176" s="323"/>
      <c r="AO176" s="8"/>
      <c r="AP176" s="8"/>
      <c r="AV176" s="70"/>
    </row>
    <row r="177" spans="1:48" s="7" customFormat="1" x14ac:dyDescent="0.35">
      <c r="A177" s="16"/>
      <c r="AL177" s="323"/>
      <c r="AO177" s="8"/>
      <c r="AP177" s="8"/>
      <c r="AV177" s="70"/>
    </row>
    <row r="178" spans="1:48" s="7" customFormat="1" x14ac:dyDescent="0.35">
      <c r="A178" s="16"/>
      <c r="AL178" s="323"/>
      <c r="AO178" s="8"/>
      <c r="AP178" s="8"/>
      <c r="AV178" s="70"/>
    </row>
    <row r="179" spans="1:48" s="7" customFormat="1" x14ac:dyDescent="0.35">
      <c r="A179" s="16"/>
      <c r="AL179" s="323"/>
      <c r="AO179" s="8"/>
      <c r="AP179" s="8"/>
      <c r="AV179" s="70"/>
    </row>
    <row r="180" spans="1:48" s="7" customFormat="1" x14ac:dyDescent="0.35">
      <c r="A180" s="16"/>
      <c r="AL180" s="323"/>
      <c r="AO180" s="8"/>
      <c r="AP180" s="8"/>
      <c r="AV180" s="70"/>
    </row>
    <row r="181" spans="1:48" s="7" customFormat="1" x14ac:dyDescent="0.35">
      <c r="A181" s="16"/>
      <c r="AL181" s="323"/>
      <c r="AO181" s="8"/>
      <c r="AP181" s="8"/>
      <c r="AV181" s="70"/>
    </row>
    <row r="182" spans="1:48" s="7" customFormat="1" x14ac:dyDescent="0.35">
      <c r="A182" s="16"/>
      <c r="AL182" s="323"/>
      <c r="AO182" s="8"/>
      <c r="AP182" s="8"/>
      <c r="AV182" s="70"/>
    </row>
    <row r="183" spans="1:48" s="7" customFormat="1" x14ac:dyDescent="0.35">
      <c r="A183" s="16"/>
      <c r="AL183" s="323"/>
      <c r="AO183" s="8"/>
      <c r="AP183" s="8"/>
      <c r="AV183" s="70"/>
    </row>
    <row r="184" spans="1:48" s="7" customFormat="1" x14ac:dyDescent="0.35">
      <c r="A184" s="16"/>
      <c r="AL184" s="323"/>
      <c r="AO184" s="8"/>
      <c r="AP184" s="8"/>
      <c r="AV184" s="70"/>
    </row>
    <row r="185" spans="1:48" s="7" customFormat="1" x14ac:dyDescent="0.35">
      <c r="A185" s="16"/>
      <c r="AL185" s="323"/>
      <c r="AO185" s="8"/>
      <c r="AP185" s="8"/>
      <c r="AV185" s="70"/>
    </row>
    <row r="186" spans="1:48" s="7" customFormat="1" x14ac:dyDescent="0.35">
      <c r="A186" s="16"/>
      <c r="AL186" s="323"/>
      <c r="AO186" s="8"/>
      <c r="AP186" s="8"/>
      <c r="AV186" s="70"/>
    </row>
    <row r="187" spans="1:48" s="7" customFormat="1" x14ac:dyDescent="0.35">
      <c r="A187" s="16"/>
      <c r="AL187" s="323"/>
      <c r="AO187" s="8"/>
      <c r="AP187" s="8"/>
      <c r="AV187" s="70"/>
    </row>
    <row r="188" spans="1:48" x14ac:dyDescent="0.3">
      <c r="A188" s="16"/>
    </row>
    <row r="189" spans="1:48" x14ac:dyDescent="0.3">
      <c r="A189" s="16"/>
    </row>
    <row r="190" spans="1:48" x14ac:dyDescent="0.3">
      <c r="A190" s="16"/>
    </row>
    <row r="191" spans="1:48" x14ac:dyDescent="0.3">
      <c r="A191" s="16"/>
    </row>
    <row r="192" spans="1:48" x14ac:dyDescent="0.3">
      <c r="A192" s="16"/>
    </row>
  </sheetData>
  <sheetProtection formatColumns="0" formatRows="0" insertColumns="0" insertRows="0" insertHyperlinks="0" deleteColumns="0" deleteRows="0" sort="0" autoFilter="0" pivotTables="0"/>
  <protectedRanges>
    <protectedRange algorithmName="SHA-512" hashValue="7FJpRjMClRRlEDaRiv2I45XnJ5nVe6Y81mjOK27+pd76r1+ad5pIvVkVn8vpLooPef4Z+bpcH2bfqg0F/3hsww==" saltValue="Lq5joJryvX0cvidipyTKig==" spinCount="100000" sqref="AI16:AI17" name="Total ore_2_1_1"/>
  </protectedRanges>
  <mergeCells count="188">
    <mergeCell ref="B139:C139"/>
    <mergeCell ref="D139:AJ139"/>
    <mergeCell ref="B121:C121"/>
    <mergeCell ref="D121:AJ121"/>
    <mergeCell ref="AJ12:AJ14"/>
    <mergeCell ref="AK12:AK14"/>
    <mergeCell ref="AL12:AL14"/>
    <mergeCell ref="I20:O20"/>
    <mergeCell ref="P20:V20"/>
    <mergeCell ref="I22:O22"/>
    <mergeCell ref="P22:V22"/>
    <mergeCell ref="A34:K34"/>
    <mergeCell ref="A35:K35"/>
    <mergeCell ref="F39:AF39"/>
    <mergeCell ref="AG39:AL39"/>
    <mergeCell ref="F40:AF40"/>
    <mergeCell ref="AG40:AL40"/>
    <mergeCell ref="F41:AF41"/>
    <mergeCell ref="AG41:AL41"/>
    <mergeCell ref="B37:C37"/>
    <mergeCell ref="D37:E37"/>
    <mergeCell ref="F37:AF37"/>
    <mergeCell ref="AG37:AL37"/>
    <mergeCell ref="F38:AF38"/>
    <mergeCell ref="B8:AF10"/>
    <mergeCell ref="B11:AF11"/>
    <mergeCell ref="A12:AF12"/>
    <mergeCell ref="AG12:AG14"/>
    <mergeCell ref="AH12:AH14"/>
    <mergeCell ref="AI12:AI14"/>
    <mergeCell ref="I28:O28"/>
    <mergeCell ref="P28:V28"/>
    <mergeCell ref="A33:K33"/>
    <mergeCell ref="R33:Y33"/>
    <mergeCell ref="I25:O25"/>
    <mergeCell ref="P25:V25"/>
    <mergeCell ref="I26:O26"/>
    <mergeCell ref="P26:V26"/>
    <mergeCell ref="I27:O27"/>
    <mergeCell ref="P27:V27"/>
    <mergeCell ref="AG38:AL38"/>
    <mergeCell ref="F45:AF45"/>
    <mergeCell ref="AG45:AL45"/>
    <mergeCell ref="F46:AF46"/>
    <mergeCell ref="AG46:AL46"/>
    <mergeCell ref="F47:AF47"/>
    <mergeCell ref="AG47:AL47"/>
    <mergeCell ref="F42:AF42"/>
    <mergeCell ref="AG42:AL42"/>
    <mergeCell ref="F43:AF43"/>
    <mergeCell ref="AG43:AL43"/>
    <mergeCell ref="F44:AF44"/>
    <mergeCell ref="AG44:AL44"/>
    <mergeCell ref="F51:AF51"/>
    <mergeCell ref="AG51:AL51"/>
    <mergeCell ref="F52:AF52"/>
    <mergeCell ref="AG52:AL52"/>
    <mergeCell ref="F53:AF53"/>
    <mergeCell ref="AG53:AL53"/>
    <mergeCell ref="F48:AF48"/>
    <mergeCell ref="AG48:AL48"/>
    <mergeCell ref="F49:AF49"/>
    <mergeCell ref="AG49:AL49"/>
    <mergeCell ref="F50:AF50"/>
    <mergeCell ref="AG50:AL50"/>
    <mergeCell ref="F57:AF57"/>
    <mergeCell ref="AG57:AL57"/>
    <mergeCell ref="F58:AF58"/>
    <mergeCell ref="AG58:AL58"/>
    <mergeCell ref="F59:AF59"/>
    <mergeCell ref="AG59:AL59"/>
    <mergeCell ref="F54:AF54"/>
    <mergeCell ref="AG54:AL54"/>
    <mergeCell ref="F55:AF55"/>
    <mergeCell ref="AG55:AL55"/>
    <mergeCell ref="F56:AF56"/>
    <mergeCell ref="AG56:AL56"/>
    <mergeCell ref="F65:AF65"/>
    <mergeCell ref="AG65:AL65"/>
    <mergeCell ref="F63:AF63"/>
    <mergeCell ref="AG63:AL63"/>
    <mergeCell ref="F64:AF64"/>
    <mergeCell ref="AG64:AL64"/>
    <mergeCell ref="F60:AF60"/>
    <mergeCell ref="AG60:AL60"/>
    <mergeCell ref="F61:AF61"/>
    <mergeCell ref="AG61:AL61"/>
    <mergeCell ref="F62:AF62"/>
    <mergeCell ref="AG62:AL62"/>
    <mergeCell ref="AN106:AN110"/>
    <mergeCell ref="A107:F107"/>
    <mergeCell ref="G107:AM107"/>
    <mergeCell ref="A108:F108"/>
    <mergeCell ref="G108:AM108"/>
    <mergeCell ref="A109:F109"/>
    <mergeCell ref="G109:AM109"/>
    <mergeCell ref="A110:F110"/>
    <mergeCell ref="L67:M67"/>
    <mergeCell ref="B68:C68"/>
    <mergeCell ref="D68:E68"/>
    <mergeCell ref="F68:G68"/>
    <mergeCell ref="H68:I68"/>
    <mergeCell ref="J68:K68"/>
    <mergeCell ref="L68:M68"/>
    <mergeCell ref="A67:A68"/>
    <mergeCell ref="B67:C67"/>
    <mergeCell ref="D67:E67"/>
    <mergeCell ref="F67:G67"/>
    <mergeCell ref="H67:I67"/>
    <mergeCell ref="J67:K67"/>
    <mergeCell ref="G110:AM110"/>
    <mergeCell ref="B111:C111"/>
    <mergeCell ref="D111:AJ111"/>
    <mergeCell ref="B112:C112"/>
    <mergeCell ref="D112:AJ112"/>
    <mergeCell ref="B113:C113"/>
    <mergeCell ref="D113:AJ113"/>
    <mergeCell ref="A106:F106"/>
    <mergeCell ref="G106:AM106"/>
    <mergeCell ref="B117:C117"/>
    <mergeCell ref="D117:AJ117"/>
    <mergeCell ref="B118:C118"/>
    <mergeCell ref="D118:AJ118"/>
    <mergeCell ref="B119:C119"/>
    <mergeCell ref="D119:AJ119"/>
    <mergeCell ref="B114:C114"/>
    <mergeCell ref="D114:AJ114"/>
    <mergeCell ref="B115:C115"/>
    <mergeCell ref="D115:AJ115"/>
    <mergeCell ref="B116:C116"/>
    <mergeCell ref="D116:AJ116"/>
    <mergeCell ref="B124:C124"/>
    <mergeCell ref="D124:AJ124"/>
    <mergeCell ref="B125:C125"/>
    <mergeCell ref="D125:AJ125"/>
    <mergeCell ref="B126:C126"/>
    <mergeCell ref="D126:AJ126"/>
    <mergeCell ref="B120:C120"/>
    <mergeCell ref="D120:AJ120"/>
    <mergeCell ref="B122:C122"/>
    <mergeCell ref="D122:AJ122"/>
    <mergeCell ref="B123:C123"/>
    <mergeCell ref="D123:AJ123"/>
    <mergeCell ref="B130:C130"/>
    <mergeCell ref="D130:AJ130"/>
    <mergeCell ref="B131:C131"/>
    <mergeCell ref="D131:AJ131"/>
    <mergeCell ref="B132:C132"/>
    <mergeCell ref="D132:AJ132"/>
    <mergeCell ref="B127:C127"/>
    <mergeCell ref="D127:AJ127"/>
    <mergeCell ref="B128:C128"/>
    <mergeCell ref="D128:AJ128"/>
    <mergeCell ref="B129:C129"/>
    <mergeCell ref="D129:AJ129"/>
    <mergeCell ref="B136:C136"/>
    <mergeCell ref="D136:AJ136"/>
    <mergeCell ref="B137:C137"/>
    <mergeCell ref="D137:AJ137"/>
    <mergeCell ref="B138:C138"/>
    <mergeCell ref="D138:AJ138"/>
    <mergeCell ref="B133:C133"/>
    <mergeCell ref="D133:AJ133"/>
    <mergeCell ref="B134:C134"/>
    <mergeCell ref="D134:AJ134"/>
    <mergeCell ref="B135:C135"/>
    <mergeCell ref="D135:AJ135"/>
    <mergeCell ref="A142:AJ142"/>
    <mergeCell ref="A143:AM144"/>
    <mergeCell ref="A145:C145"/>
    <mergeCell ref="D145:AM145"/>
    <mergeCell ref="A146:C146"/>
    <mergeCell ref="D146:AM146"/>
    <mergeCell ref="B141:C141"/>
    <mergeCell ref="D141:AJ141"/>
    <mergeCell ref="B140:C140"/>
    <mergeCell ref="D140:AJ140"/>
    <mergeCell ref="A150:C150"/>
    <mergeCell ref="D150:AM150"/>
    <mergeCell ref="A151:C151"/>
    <mergeCell ref="D151:AM151"/>
    <mergeCell ref="A152:C152"/>
    <mergeCell ref="A147:C147"/>
    <mergeCell ref="D147:AM147"/>
    <mergeCell ref="A148:C148"/>
    <mergeCell ref="D148:AM148"/>
    <mergeCell ref="A149:C149"/>
    <mergeCell ref="D149:AM149"/>
  </mergeCells>
  <phoneticPr fontId="21" type="noConversion"/>
  <dataValidations count="8">
    <dataValidation type="custom" allowBlank="1" showInputMessage="1" showErrorMessage="1" errorTitle="Eroare Validare Livrabil" error="Categoria livrabilului (AU) este obligatoriu." sqref="AV115 AV117:AV141" xr:uid="{60443B60-202B-42AF-82A1-001F63BCCC20}">
      <formula1>AU117&lt;&gt;""</formula1>
    </dataValidation>
    <dataValidation type="custom" allowBlank="1" showInputMessage="1" showErrorMessage="1" errorTitle="Eroare Validare Livrabil" error="Categoria livrabilului (AU) este obligatoriu." sqref="AX117" xr:uid="{0D26AE45-CB60-4F2B-8AC5-71B17B20250C}">
      <formula1>AU118&lt;&gt;""</formula1>
    </dataValidation>
    <dataValidation type="custom" allowBlank="1" showInputMessage="1" showErrorMessage="1" errorTitle="Eroare Validare Livrabil" error="Categoria livrabilului (AU) este obligatoriu." sqref="AV112:AV114" xr:uid="{242F6C4E-7B18-4163-9D0A-B3FA8D72E41F}">
      <formula1>AU115&lt;&gt;""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2:AX114" xr:uid="{7316C0C1-7C39-4491-BAF5-30CD4518898C}">
      <formula1>AW115&lt;&gt;""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2:AT114" xr:uid="{C6368D7F-0BA0-4244-B2CA-CED1A84EE17A}">
      <formula1>AND(AQ115="Nu", OR(AQ115="Da", AND(AQ115="Da", AR115&lt;&gt;"")), AS115&lt;&gt;"")</formula1>
    </dataValidation>
    <dataValidation type="list" allowBlank="1" showInputMessage="1" showErrorMessage="1" sqref="C38:C65" xr:uid="{74D2FD06-DB5F-4523-9849-B0EF2CD7A4C5}">
      <formula1>"WP1,WP2,WP3,WP4"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5:AX141" xr:uid="{D4E84087-0A69-44DE-99E6-770AA028238A}">
      <formula1>AW117&lt;&gt;""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5:AT120 AT122:AT141" xr:uid="{1EEC57BC-2BF0-49FA-93C3-0C2FBA4C22B3}">
      <formula1>AND(AQ117="Nu", OR(AQ117="Da", AND(AQ117="Da", AR117&lt;&gt;"")), AS117&lt;&gt;"")</formula1>
    </dataValidation>
  </dataValidations>
  <hyperlinks>
    <hyperlink ref="AV116" r:id="rId1" display="Analiză standard de raportare voluntară IMM-uri" xr:uid="{B568B734-A010-415D-A1E7-1D556E00FE85}"/>
    <hyperlink ref="AV136" r:id="rId2" xr:uid="{7234E905-AAA1-47DE-9263-373C3F6586C3}"/>
    <hyperlink ref="AV130" r:id="rId3" display="Dashboard legislativ" xr:uid="{4548A248-EE69-46DE-BC4D-F0286942E6FF}"/>
    <hyperlink ref="AV117" r:id="rId4" display="Rezumat activități lunile decembrie-ianuarie" xr:uid="{C55F2758-18B5-4D11-AAE4-0DB858E212F0}"/>
    <hyperlink ref="AT117" r:id="rId5" xr:uid="{C4066FC8-045F-450C-8B57-AB0898781A61}"/>
    <hyperlink ref="AV120" r:id="rId6" display="Propuneri proiect de Lege norme reparare bunuri" xr:uid="{A793FDFB-9FC1-4DC9-A19D-71316F6EFD13}"/>
    <hyperlink ref="AV139" r:id="rId7" xr:uid="{8A0B32B4-256E-4C29-86FE-81B67C461DEE}"/>
    <hyperlink ref="AT121" r:id="rId8" display="https://confederatiaconcordia.sharepoint.com/:w:/s/PEO2024-2028/IQBhHLJunkElRLVjKWHopxiAAYpdzpnP0ix1ZXsV9EWdtto?e=lBxF5f" xr:uid="{CB7006FA-3200-4681-B562-C3D32E20B9F1}"/>
    <hyperlink ref="AV122" r:id="rId9" display="Prezentare " xr:uid="{B768B6B8-0C3D-4EFA-8F29-61BC3653DC66}"/>
    <hyperlink ref="AX122" r:id="rId10" xr:uid="{74C4427D-B2D5-4555-BF75-BA8B738F788C}"/>
    <hyperlink ref="AV135" r:id="rId11" display="LISTA PREZENTA" xr:uid="{8188D91C-8601-4024-9FD5-1412BF6293EE}"/>
    <hyperlink ref="AV121" r:id="rId12" display="https://confederatiaconcordia.sharepoint.com/:w:/s/PEO2024-2028/IQABnE5KQVh5RbxOD3IO5Y0WAasdVctywbzAi_byK9bxNU8?e=Cghg4E" xr:uid="{FC9AD642-C71F-4A60-80EB-D1B2EA3EEC1C}"/>
  </hyperlinks>
  <pageMargins left="0.25" right="0.25" top="0.75" bottom="0.75" header="0.3" footer="0.3"/>
  <pageSetup paperSize="9" scale="13" fitToHeight="0" orientation="portrait" r:id="rId13"/>
  <drawing r:id="rId14"/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F1454ED-D211-46C8-B09D-22BA0FBC6594}">
          <x14:formula1>
            <xm:f>Activitati!$D$2:$D$11</xm:f>
          </x14:formula1>
          <xm:sqref>AU112:AU141 AW112:AW141 AY112:AY141</xm:sqref>
        </x14:dataValidation>
        <x14:dataValidation type="list" allowBlank="1" showInputMessage="1" showErrorMessage="1" xr:uid="{5A4BDA90-8D21-4EDF-974C-94092582694E}">
          <x14:formula1>
            <xm:f>Activitati!$C$2:$C$3</xm:f>
          </x14:formula1>
          <xm:sqref>AS112:AS141</xm:sqref>
        </x14:dataValidation>
        <x14:dataValidation type="list" allowBlank="1" showInputMessage="1" showErrorMessage="1" xr:uid="{FE9B3E0C-B722-485E-81DB-2CCE451ADE46}">
          <x14:formula1>
            <xm:f>Activitati!$B$2:$B$3</xm:f>
          </x14:formula1>
          <xm:sqref>AQ112:AQ141</xm:sqref>
        </x14:dataValidation>
        <x14:dataValidation type="list" allowBlank="1" showInputMessage="1" showErrorMessage="1" xr:uid="{E3171AC4-1810-4491-90B0-6A0AC41C3AD1}">
          <x14:formula1>
            <xm:f>Activitati!$A$2:$A$5</xm:f>
          </x14:formula1>
          <xm:sqref>D112:AJ141</xm:sqref>
        </x14:dataValidation>
        <x14:dataValidation type="list" allowBlank="1" showInputMessage="1" showErrorMessage="1" xr:uid="{6C8DC22C-731E-462C-B2FA-3F504F0CBA33}">
          <x14:formula1>
            <xm:f>Activitati!$A$1</xm:f>
          </x14:formula1>
          <xm:sqref>B112:C141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5088-CFE9-4FA3-8BCA-EB58DB525453}">
  <sheetPr>
    <pageSetUpPr fitToPage="1"/>
  </sheetPr>
  <dimension ref="A1:BB196"/>
  <sheetViews>
    <sheetView showGridLines="0" topLeftCell="AO119" zoomScale="70" zoomScaleNormal="70" workbookViewId="0">
      <selection activeCell="AV145" sqref="AV145"/>
    </sheetView>
  </sheetViews>
  <sheetFormatPr defaultColWidth="8.7265625" defaultRowHeight="13" x14ac:dyDescent="0.3"/>
  <cols>
    <col min="1" max="1" width="30.453125" style="4" customWidth="1"/>
    <col min="2" max="2" width="3.453125" style="4" customWidth="1"/>
    <col min="3" max="3" width="4.453125" style="4" customWidth="1"/>
    <col min="4" max="32" width="3.453125" style="4" customWidth="1"/>
    <col min="33" max="34" width="7.453125" style="4" customWidth="1"/>
    <col min="35" max="35" width="6.54296875" style="4" customWidth="1"/>
    <col min="36" max="36" width="6.453125" style="4" customWidth="1"/>
    <col min="37" max="37" width="7.54296875" style="4" customWidth="1"/>
    <col min="38" max="38" width="7.7265625" style="4" customWidth="1"/>
    <col min="39" max="39" width="10.7265625" style="4" customWidth="1"/>
    <col min="40" max="40" width="79.7265625" style="4" customWidth="1"/>
    <col min="41" max="41" width="25.26953125" style="5" customWidth="1"/>
    <col min="42" max="42" width="19" style="5" customWidth="1"/>
    <col min="43" max="43" width="27.7265625" style="4" customWidth="1"/>
    <col min="44" max="44" width="33" style="4" customWidth="1"/>
    <col min="45" max="45" width="44.26953125" style="4" customWidth="1"/>
    <col min="46" max="46" width="47.7265625" style="4" customWidth="1"/>
    <col min="47" max="47" width="23.26953125" style="4" customWidth="1"/>
    <col min="48" max="48" width="68.453125" style="55" customWidth="1"/>
    <col min="49" max="49" width="23.26953125" style="4" customWidth="1"/>
    <col min="50" max="50" width="53.7265625" style="4" customWidth="1"/>
    <col min="51" max="51" width="19.7265625" style="4" customWidth="1"/>
    <col min="52" max="52" width="18.26953125" style="4" customWidth="1"/>
    <col min="53" max="53" width="33.7265625" style="4" customWidth="1"/>
    <col min="54" max="54" width="34.7265625" style="4" customWidth="1"/>
    <col min="55" max="16384" width="8.7265625" style="4"/>
  </cols>
  <sheetData>
    <row r="1" spans="1:39" ht="13.5" thickBot="1" x14ac:dyDescent="0.35">
      <c r="A1" s="32" t="s">
        <v>0</v>
      </c>
      <c r="B1" s="33"/>
    </row>
    <row r="2" spans="1:39" ht="13.5" thickBot="1" x14ac:dyDescent="0.35">
      <c r="A2" s="34" t="s">
        <v>1</v>
      </c>
      <c r="B2" s="35"/>
    </row>
    <row r="3" spans="1:39" ht="13.5" thickBot="1" x14ac:dyDescent="0.35">
      <c r="A3" s="34" t="s">
        <v>2</v>
      </c>
      <c r="B3" s="36" t="s">
        <v>3</v>
      </c>
    </row>
    <row r="4" spans="1:39" ht="13.5" thickBot="1" x14ac:dyDescent="0.35">
      <c r="A4" s="34" t="s">
        <v>4</v>
      </c>
      <c r="B4" s="36" t="s">
        <v>5</v>
      </c>
    </row>
    <row r="5" spans="1:39" ht="13.5" thickBot="1" x14ac:dyDescent="0.35">
      <c r="A5" s="37" t="s">
        <v>6</v>
      </c>
      <c r="B5" s="36" t="s">
        <v>7</v>
      </c>
    </row>
    <row r="6" spans="1:39" ht="13.5" thickBot="1" x14ac:dyDescent="0.35">
      <c r="A6" s="37" t="s">
        <v>8</v>
      </c>
      <c r="B6" s="38">
        <v>8</v>
      </c>
    </row>
    <row r="7" spans="1:39" ht="13.5" thickBot="1" x14ac:dyDescent="0.35">
      <c r="A7" s="39"/>
      <c r="B7" s="40"/>
    </row>
    <row r="8" spans="1:39" ht="20.149999999999999" customHeight="1" x14ac:dyDescent="0.3">
      <c r="B8" s="564" t="s">
        <v>9</v>
      </c>
      <c r="C8" s="565"/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6"/>
    </row>
    <row r="9" spans="1:39" ht="20.149999999999999" customHeight="1" x14ac:dyDescent="0.3">
      <c r="B9" s="567"/>
      <c r="C9" s="568"/>
      <c r="D9" s="568"/>
      <c r="E9" s="568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  <c r="AA9" s="568"/>
      <c r="AB9" s="568"/>
      <c r="AC9" s="568"/>
      <c r="AD9" s="568"/>
      <c r="AE9" s="568"/>
      <c r="AF9" s="569"/>
    </row>
    <row r="10" spans="1:39" ht="20.149999999999999" customHeight="1" thickBot="1" x14ac:dyDescent="0.35">
      <c r="B10" s="570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D10" s="571"/>
      <c r="AE10" s="571"/>
      <c r="AF10" s="572"/>
    </row>
    <row r="11" spans="1:39" ht="15" thickBot="1" x14ac:dyDescent="0.4">
      <c r="B11" s="573" t="s">
        <v>10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41"/>
      <c r="AH11" s="42"/>
      <c r="AI11" s="41"/>
      <c r="AJ11" s="42"/>
      <c r="AK11" s="41"/>
      <c r="AL11" s="42"/>
      <c r="AM11" s="41"/>
    </row>
    <row r="12" spans="1:39" ht="13.5" thickBot="1" x14ac:dyDescent="0.35">
      <c r="A12" s="574" t="s">
        <v>152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6" t="s">
        <v>12</v>
      </c>
      <c r="AH12" s="558" t="s">
        <v>13</v>
      </c>
      <c r="AI12" s="558" t="s">
        <v>14</v>
      </c>
      <c r="AJ12" s="558" t="s">
        <v>15</v>
      </c>
      <c r="AK12" s="558" t="s">
        <v>16</v>
      </c>
      <c r="AL12" s="561" t="s">
        <v>17</v>
      </c>
      <c r="AM12" s="43"/>
    </row>
    <row r="13" spans="1:39" ht="17.149999999999999" customHeight="1" thickBot="1" x14ac:dyDescent="0.35">
      <c r="A13" s="44" t="s">
        <v>18</v>
      </c>
      <c r="B13" s="223">
        <v>1</v>
      </c>
      <c r="C13" s="153">
        <v>2</v>
      </c>
      <c r="D13" s="153">
        <v>3</v>
      </c>
      <c r="E13" s="153">
        <v>4</v>
      </c>
      <c r="F13" s="153">
        <v>5</v>
      </c>
      <c r="G13" s="153">
        <v>6</v>
      </c>
      <c r="H13" s="47">
        <v>7</v>
      </c>
      <c r="I13" s="47">
        <v>8</v>
      </c>
      <c r="J13" s="153">
        <v>9</v>
      </c>
      <c r="K13" s="153">
        <v>10</v>
      </c>
      <c r="L13" s="153">
        <v>11</v>
      </c>
      <c r="M13" s="153">
        <v>12</v>
      </c>
      <c r="N13" s="153">
        <v>13</v>
      </c>
      <c r="O13" s="47">
        <v>14</v>
      </c>
      <c r="P13" s="47">
        <v>15</v>
      </c>
      <c r="Q13" s="153">
        <v>16</v>
      </c>
      <c r="R13" s="153">
        <v>17</v>
      </c>
      <c r="S13" s="153">
        <v>18</v>
      </c>
      <c r="T13" s="153">
        <v>19</v>
      </c>
      <c r="U13" s="153">
        <v>20</v>
      </c>
      <c r="V13" s="47">
        <v>21</v>
      </c>
      <c r="W13" s="47">
        <v>22</v>
      </c>
      <c r="X13" s="153">
        <v>23</v>
      </c>
      <c r="Y13" s="153">
        <v>24</v>
      </c>
      <c r="Z13" s="153">
        <v>25</v>
      </c>
      <c r="AA13" s="153">
        <v>26</v>
      </c>
      <c r="AB13" s="153">
        <v>27</v>
      </c>
      <c r="AC13" s="47">
        <v>28</v>
      </c>
      <c r="AD13" s="47">
        <v>29</v>
      </c>
      <c r="AE13" s="153">
        <v>30</v>
      </c>
      <c r="AF13" s="153">
        <v>31</v>
      </c>
      <c r="AG13" s="577"/>
      <c r="AH13" s="579"/>
      <c r="AI13" s="559"/>
      <c r="AJ13" s="559"/>
      <c r="AK13" s="559"/>
      <c r="AL13" s="562"/>
      <c r="AM13" s="48"/>
    </row>
    <row r="14" spans="1:39" ht="20.149999999999999" customHeight="1" thickBot="1" x14ac:dyDescent="0.35">
      <c r="A14" s="49" t="s">
        <v>19</v>
      </c>
      <c r="B14" s="52" t="s">
        <v>23</v>
      </c>
      <c r="C14" s="51" t="s">
        <v>24</v>
      </c>
      <c r="D14" s="51" t="s">
        <v>25</v>
      </c>
      <c r="E14" s="51" t="s">
        <v>26</v>
      </c>
      <c r="F14" s="51" t="s">
        <v>20</v>
      </c>
      <c r="G14" s="51" t="s">
        <v>21</v>
      </c>
      <c r="H14" s="52" t="s">
        <v>22</v>
      </c>
      <c r="I14" s="52" t="s">
        <v>23</v>
      </c>
      <c r="J14" s="51" t="s">
        <v>24</v>
      </c>
      <c r="K14" s="51" t="s">
        <v>25</v>
      </c>
      <c r="L14" s="51" t="s">
        <v>26</v>
      </c>
      <c r="M14" s="51" t="s">
        <v>20</v>
      </c>
      <c r="N14" s="51" t="s">
        <v>21</v>
      </c>
      <c r="O14" s="52" t="s">
        <v>22</v>
      </c>
      <c r="P14" s="52" t="s">
        <v>23</v>
      </c>
      <c r="Q14" s="51" t="s">
        <v>24</v>
      </c>
      <c r="R14" s="51" t="s">
        <v>25</v>
      </c>
      <c r="S14" s="51" t="s">
        <v>26</v>
      </c>
      <c r="T14" s="51" t="s">
        <v>20</v>
      </c>
      <c r="U14" s="51" t="s">
        <v>21</v>
      </c>
      <c r="V14" s="52" t="s">
        <v>22</v>
      </c>
      <c r="W14" s="52" t="s">
        <v>23</v>
      </c>
      <c r="X14" s="51" t="s">
        <v>24</v>
      </c>
      <c r="Y14" s="51" t="s">
        <v>25</v>
      </c>
      <c r="Z14" s="51" t="s">
        <v>26</v>
      </c>
      <c r="AA14" s="51" t="s">
        <v>20</v>
      </c>
      <c r="AB14" s="51" t="s">
        <v>21</v>
      </c>
      <c r="AC14" s="52" t="s">
        <v>22</v>
      </c>
      <c r="AD14" s="52" t="s">
        <v>23</v>
      </c>
      <c r="AE14" s="51" t="s">
        <v>24</v>
      </c>
      <c r="AF14" s="51" t="s">
        <v>25</v>
      </c>
      <c r="AG14" s="578"/>
      <c r="AH14" s="580"/>
      <c r="AI14" s="560"/>
      <c r="AJ14" s="560"/>
      <c r="AK14" s="560"/>
      <c r="AL14" s="563"/>
      <c r="AM14" s="48"/>
    </row>
    <row r="15" spans="1:39" ht="20.149999999999999" customHeight="1" x14ac:dyDescent="0.3">
      <c r="A15" s="120" t="s">
        <v>27</v>
      </c>
      <c r="B15" s="352"/>
      <c r="C15" s="353">
        <f>8-SUM(C16:C17)</f>
        <v>0</v>
      </c>
      <c r="D15" s="353">
        <f>8-SUM(D16:D17)</f>
        <v>0</v>
      </c>
      <c r="E15" s="353">
        <f>8-SUM(E16:E17)</f>
        <v>0</v>
      </c>
      <c r="F15" s="353">
        <f>8-SUM(F16:F17)</f>
        <v>0</v>
      </c>
      <c r="G15" s="353">
        <f>8-SUM(G16:G17)</f>
        <v>0</v>
      </c>
      <c r="H15" s="354"/>
      <c r="I15" s="354"/>
      <c r="J15" s="353">
        <f t="shared" ref="J15:N15" si="0">8-SUM(J16:J17)</f>
        <v>0</v>
      </c>
      <c r="K15" s="353">
        <f t="shared" si="0"/>
        <v>0</v>
      </c>
      <c r="L15" s="353">
        <f t="shared" si="0"/>
        <v>0</v>
      </c>
      <c r="M15" s="353">
        <f t="shared" si="0"/>
        <v>0</v>
      </c>
      <c r="N15" s="353">
        <f t="shared" si="0"/>
        <v>0</v>
      </c>
      <c r="O15" s="354"/>
      <c r="P15" s="354"/>
      <c r="Q15" s="353">
        <f t="shared" ref="Q15:U15" si="1">8-SUM(Q16:Q17)</f>
        <v>0</v>
      </c>
      <c r="R15" s="353">
        <f t="shared" si="1"/>
        <v>0</v>
      </c>
      <c r="S15" s="353">
        <f t="shared" si="1"/>
        <v>0</v>
      </c>
      <c r="T15" s="353">
        <f t="shared" si="1"/>
        <v>0</v>
      </c>
      <c r="U15" s="353">
        <f t="shared" si="1"/>
        <v>0</v>
      </c>
      <c r="V15" s="354"/>
      <c r="W15" s="354"/>
      <c r="X15" s="353">
        <f>8-SUM(X16:X17)</f>
        <v>0</v>
      </c>
      <c r="Y15" s="353">
        <f>8-SUM(Y16:Y17)</f>
        <v>0</v>
      </c>
      <c r="Z15" s="353">
        <f>8-SUM(Z16:Z17)</f>
        <v>0</v>
      </c>
      <c r="AA15" s="353">
        <f>8-SUM(AA16:AA17)</f>
        <v>0</v>
      </c>
      <c r="AB15" s="353">
        <f>8-SUM(AB16:AB17)</f>
        <v>0</v>
      </c>
      <c r="AC15" s="354"/>
      <c r="AD15" s="354"/>
      <c r="AE15" s="353">
        <f t="shared" ref="AE15:AF15" si="2">8-SUM(AE16:AE17)</f>
        <v>0</v>
      </c>
      <c r="AF15" s="353">
        <f t="shared" si="2"/>
        <v>0</v>
      </c>
      <c r="AG15" s="355">
        <f>SUM(B15:AF15)+COUNTIF(B15:AF15, "DE")*8</f>
        <v>0</v>
      </c>
      <c r="AH15" s="356">
        <f>AG15/8</f>
        <v>0</v>
      </c>
      <c r="AI15" s="356">
        <f>COUNTIF(B15:AF15,"CO")*2</f>
        <v>0</v>
      </c>
      <c r="AJ15" s="356">
        <f>AI15/8</f>
        <v>0</v>
      </c>
      <c r="AK15" s="356">
        <f>COUNTIF(B15:AF15, "CM")*8</f>
        <v>0</v>
      </c>
      <c r="AL15" s="357">
        <f>AK15/8</f>
        <v>0</v>
      </c>
      <c r="AM15" s="53"/>
    </row>
    <row r="16" spans="1:39" ht="20.149999999999999" customHeight="1" x14ac:dyDescent="0.3">
      <c r="A16" s="119" t="s">
        <v>28</v>
      </c>
      <c r="B16" s="358" t="str" cm="1">
        <f t="array" ref="B16:AF16">TRANSPOSE(IF(E38:E68="","",E38:E68))</f>
        <v/>
      </c>
      <c r="C16" s="359">
        <v>2</v>
      </c>
      <c r="D16" s="359">
        <v>2</v>
      </c>
      <c r="E16" s="359">
        <v>2</v>
      </c>
      <c r="F16" s="359">
        <v>2</v>
      </c>
      <c r="G16" s="359">
        <v>2</v>
      </c>
      <c r="H16" s="360" t="str">
        <v/>
      </c>
      <c r="I16" s="360" t="str">
        <v/>
      </c>
      <c r="J16" s="359">
        <v>2</v>
      </c>
      <c r="K16" s="359">
        <v>2</v>
      </c>
      <c r="L16" s="359">
        <v>2</v>
      </c>
      <c r="M16" s="359">
        <v>2</v>
      </c>
      <c r="N16" s="359">
        <v>2</v>
      </c>
      <c r="O16" s="360" t="str">
        <v/>
      </c>
      <c r="P16" s="360" t="str">
        <v/>
      </c>
      <c r="Q16" s="359">
        <v>2</v>
      </c>
      <c r="R16" s="359">
        <v>2</v>
      </c>
      <c r="S16" s="359">
        <v>2</v>
      </c>
      <c r="T16" s="359">
        <v>2</v>
      </c>
      <c r="U16" s="359">
        <v>2</v>
      </c>
      <c r="V16" s="360" t="str">
        <v/>
      </c>
      <c r="W16" s="360" t="str">
        <v/>
      </c>
      <c r="X16" s="359">
        <v>2</v>
      </c>
      <c r="Y16" s="359">
        <v>2</v>
      </c>
      <c r="Z16" s="359">
        <v>2</v>
      </c>
      <c r="AA16" s="359">
        <v>2</v>
      </c>
      <c r="AB16" s="359">
        <v>2</v>
      </c>
      <c r="AC16" s="360" t="str">
        <v/>
      </c>
      <c r="AD16" s="360" t="str">
        <v/>
      </c>
      <c r="AE16" s="359">
        <v>2</v>
      </c>
      <c r="AF16" s="359">
        <v>2</v>
      </c>
      <c r="AG16" s="361">
        <f>SUM(B16:AF16)+COUNTIF(B16:AF16, "DE")*8</f>
        <v>44</v>
      </c>
      <c r="AH16" s="362">
        <f>AG16/8</f>
        <v>5.5</v>
      </c>
      <c r="AI16" s="362">
        <f>COUNTIF(B16:AF16,"CO")*6</f>
        <v>0</v>
      </c>
      <c r="AJ16" s="362">
        <f>AI16/8</f>
        <v>0</v>
      </c>
      <c r="AK16" s="362">
        <f>COUNTIF(B16:AF16, "CM")*8</f>
        <v>0</v>
      </c>
      <c r="AL16" s="363">
        <f>AK16/8</f>
        <v>0</v>
      </c>
      <c r="AM16" s="53"/>
    </row>
    <row r="17" spans="1:39" ht="26.25" customHeight="1" thickBot="1" x14ac:dyDescent="0.35">
      <c r="A17" s="109" t="s">
        <v>29</v>
      </c>
      <c r="B17" s="364"/>
      <c r="C17" s="365">
        <f>SUMIFS($AL$115:$AL$145,$A$115:$A$145,"="&amp;DATE(2026,3,C13))</f>
        <v>6</v>
      </c>
      <c r="D17" s="365">
        <f>SUMIFS($AL$115:$AL$145,$A$115:$A$145,"="&amp;DATE(2026,3,D13))</f>
        <v>6</v>
      </c>
      <c r="E17" s="365">
        <f>SUMIFS($AL$115:$AL$145,$A$115:$A$145,"="&amp;DATE(2026,3,E13))</f>
        <v>6</v>
      </c>
      <c r="F17" s="365">
        <f>SUMIFS($AL$115:$AL$145,$A$115:$A$145,"="&amp;DATE(2026,3,F13))</f>
        <v>6</v>
      </c>
      <c r="G17" s="365">
        <f>SUMIFS($AL$115:$AL$145,$A$115:$A$145,"="&amp;DATE(2026,3,G13))</f>
        <v>6</v>
      </c>
      <c r="H17" s="366"/>
      <c r="I17" s="366"/>
      <c r="J17" s="365">
        <f>SUMIFS($AL$115:$AL$145,$A$115:$A$145,"="&amp;DATE(2026,3,J13))</f>
        <v>6</v>
      </c>
      <c r="K17" s="365">
        <f>SUMIFS($AL$115:$AL$145,$A$115:$A$145,"="&amp;DATE(2026,3,K13))</f>
        <v>6</v>
      </c>
      <c r="L17" s="365">
        <f>SUMIFS($AL$115:$AL$145,$A$115:$A$145,"="&amp;DATE(2026,3,L13))</f>
        <v>6</v>
      </c>
      <c r="M17" s="365">
        <f>SUMIFS($AL$115:$AL$145,$A$115:$A$145,"="&amp;DATE(2026,3,M13))</f>
        <v>6</v>
      </c>
      <c r="N17" s="365">
        <f>SUMIFS($AL$115:$AL$145,$A$115:$A$145,"="&amp;DATE(2026,3,N13))</f>
        <v>6</v>
      </c>
      <c r="O17" s="366"/>
      <c r="P17" s="366"/>
      <c r="Q17" s="365">
        <f>SUMIFS($AL$115:$AL$145,$A$115:$A$145,"="&amp;DATE(2026,3,Q13))</f>
        <v>6</v>
      </c>
      <c r="R17" s="365">
        <f>SUMIFS($AL$115:$AL$145,$A$115:$A$145,"="&amp;DATE(2026,3,R13))</f>
        <v>6</v>
      </c>
      <c r="S17" s="365">
        <f>SUMIFS($AL$115:$AL$145,$A$115:$A$145,"="&amp;DATE(2026,3,S13))</f>
        <v>6</v>
      </c>
      <c r="T17" s="365">
        <f>SUMIFS($AL$115:$AL$145,$A$115:$A$145,"="&amp;DATE(2026,3,T13))</f>
        <v>6</v>
      </c>
      <c r="U17" s="365">
        <f>SUMIFS($AL$115:$AL$145,$A$115:$A$145,"="&amp;DATE(2026,3,U13))</f>
        <v>6</v>
      </c>
      <c r="V17" s="366"/>
      <c r="W17" s="366"/>
      <c r="X17" s="365">
        <f>SUMIFS($AL$115:$AL$145,$A$115:$A$145,"="&amp;DATE(2026,3,X13))</f>
        <v>6</v>
      </c>
      <c r="Y17" s="365">
        <f>SUMIFS($AL$115:$AL$145,$A$115:$A$145,"="&amp;DATE(2026,3,Y13))</f>
        <v>6</v>
      </c>
      <c r="Z17" s="365">
        <f>SUMIFS($AL$115:$AL$145,$A$115:$A$145,"="&amp;DATE(2026,3,Z13))</f>
        <v>6</v>
      </c>
      <c r="AA17" s="365">
        <f>SUMIFS($AL$115:$AL$145,$A$115:$A$145,"="&amp;DATE(2026,3,AA13))</f>
        <v>6</v>
      </c>
      <c r="AB17" s="365">
        <f>SUMIFS($AL$115:$AL$145,$A$115:$A$145,"="&amp;DATE(2026,3,AB13))</f>
        <v>6</v>
      </c>
      <c r="AC17" s="366"/>
      <c r="AD17" s="366"/>
      <c r="AE17" s="365">
        <f>SUMIFS($AL$115:$AL$145,$A$115:$A$145,"="&amp;DATE(2026,3,AE13))</f>
        <v>6</v>
      </c>
      <c r="AF17" s="365">
        <f>SUMIFS($AL$115:$AL$145,$A$115:$A$145,"="&amp;DATE(2026,3,AF13))</f>
        <v>6</v>
      </c>
      <c r="AG17" s="367">
        <f>SUM(B17:AF17)+COUNTIF(B17:AF17, "DE")*8</f>
        <v>132</v>
      </c>
      <c r="AH17" s="368">
        <f>AG17/8</f>
        <v>16.5</v>
      </c>
      <c r="AI17" s="368">
        <f>COUNTIF(B17:AF17,"CO")*6</f>
        <v>0</v>
      </c>
      <c r="AJ17" s="368">
        <f>AI17/8</f>
        <v>0</v>
      </c>
      <c r="AK17" s="368">
        <f>COUNTIF(B17:AF17, "CM")*8</f>
        <v>0</v>
      </c>
      <c r="AL17" s="369">
        <f>AK17/8</f>
        <v>0</v>
      </c>
      <c r="AM17" s="53"/>
    </row>
    <row r="18" spans="1:39" ht="17.25" customHeight="1" thickBot="1" x14ac:dyDescent="0.35">
      <c r="A18" s="54" t="s">
        <v>30</v>
      </c>
      <c r="B18" s="370"/>
      <c r="C18" s="371">
        <f>SUM(C15:C17)</f>
        <v>8</v>
      </c>
      <c r="D18" s="371">
        <f>SUM(D15:D17)</f>
        <v>8</v>
      </c>
      <c r="E18" s="371">
        <f>SUM(E15:E17)</f>
        <v>8</v>
      </c>
      <c r="F18" s="371">
        <f>SUM(F15:F17)</f>
        <v>8</v>
      </c>
      <c r="G18" s="371">
        <f>SUM(G15:G17)</f>
        <v>8</v>
      </c>
      <c r="H18" s="370"/>
      <c r="I18" s="370"/>
      <c r="J18" s="371">
        <f>SUM(J15:J17)</f>
        <v>8</v>
      </c>
      <c r="K18" s="371">
        <f>SUM(K15:K17)</f>
        <v>8</v>
      </c>
      <c r="L18" s="371">
        <f>SUM(L15:L17)</f>
        <v>8</v>
      </c>
      <c r="M18" s="371">
        <f>SUM(M15:M17)</f>
        <v>8</v>
      </c>
      <c r="N18" s="371">
        <f>SUM(N15:N17)</f>
        <v>8</v>
      </c>
      <c r="O18" s="370"/>
      <c r="P18" s="370"/>
      <c r="Q18" s="371">
        <f>SUM(Q15:Q17)</f>
        <v>8</v>
      </c>
      <c r="R18" s="371">
        <f>SUM(R15:R17)</f>
        <v>8</v>
      </c>
      <c r="S18" s="371">
        <f>SUM(S15:S17)</f>
        <v>8</v>
      </c>
      <c r="T18" s="371">
        <f>SUM(T15:T17)</f>
        <v>8</v>
      </c>
      <c r="U18" s="371">
        <f>SUM(U15:U17)</f>
        <v>8</v>
      </c>
      <c r="V18" s="370"/>
      <c r="W18" s="370"/>
      <c r="X18" s="371">
        <f>SUM(X15:X17)</f>
        <v>8</v>
      </c>
      <c r="Y18" s="371">
        <f>SUM(Y15:Y17)</f>
        <v>8</v>
      </c>
      <c r="Z18" s="371">
        <f>SUM(Z15:Z17)</f>
        <v>8</v>
      </c>
      <c r="AA18" s="371">
        <f>SUM(AA15:AA17)</f>
        <v>8</v>
      </c>
      <c r="AB18" s="371">
        <f>SUM(AB15:AB17)</f>
        <v>8</v>
      </c>
      <c r="AC18" s="370"/>
      <c r="AD18" s="370"/>
      <c r="AE18" s="371">
        <f t="shared" ref="AE18:AF18" si="3">SUM(AE15:AE17)</f>
        <v>8</v>
      </c>
      <c r="AF18" s="371">
        <f t="shared" si="3"/>
        <v>8</v>
      </c>
      <c r="AG18" s="372">
        <f t="shared" ref="AG18:AL18" si="4">SUM(AG15:AG17)</f>
        <v>176</v>
      </c>
      <c r="AH18" s="373">
        <f t="shared" si="4"/>
        <v>22</v>
      </c>
      <c r="AI18" s="373">
        <f t="shared" si="4"/>
        <v>0</v>
      </c>
      <c r="AJ18" s="373">
        <f t="shared" si="4"/>
        <v>0</v>
      </c>
      <c r="AK18" s="373">
        <f t="shared" si="4"/>
        <v>0</v>
      </c>
      <c r="AL18" s="374">
        <f t="shared" si="4"/>
        <v>0</v>
      </c>
      <c r="AM18" s="53"/>
    </row>
    <row r="20" spans="1:39" x14ac:dyDescent="0.3">
      <c r="A20" s="5"/>
      <c r="I20" s="522" t="s">
        <v>31</v>
      </c>
      <c r="J20" s="522"/>
      <c r="K20" s="522"/>
      <c r="L20" s="522"/>
      <c r="M20" s="522"/>
      <c r="N20" s="522"/>
      <c r="O20" s="522"/>
      <c r="P20" s="545" t="s">
        <v>32</v>
      </c>
      <c r="Q20" s="545"/>
      <c r="R20" s="545"/>
      <c r="S20" s="545"/>
      <c r="T20" s="545"/>
      <c r="U20" s="545"/>
      <c r="V20" s="545"/>
    </row>
    <row r="22" spans="1:39" x14ac:dyDescent="0.3">
      <c r="I22" s="544" t="s">
        <v>33</v>
      </c>
      <c r="J22" s="544"/>
      <c r="K22" s="544"/>
      <c r="L22" s="544"/>
      <c r="M22" s="544"/>
      <c r="N22" s="544"/>
      <c r="O22" s="544"/>
      <c r="P22" s="545"/>
      <c r="Q22" s="545"/>
      <c r="R22" s="545"/>
      <c r="S22" s="545"/>
      <c r="T22" s="545"/>
      <c r="U22" s="545"/>
      <c r="V22" s="545"/>
    </row>
    <row r="23" spans="1:39" x14ac:dyDescent="0.3">
      <c r="I23" s="5"/>
      <c r="J23" s="5"/>
      <c r="K23" s="5"/>
      <c r="L23" s="5"/>
      <c r="M23" s="5"/>
      <c r="N23" s="5"/>
      <c r="O23" s="5"/>
    </row>
    <row r="24" spans="1:39" x14ac:dyDescent="0.3">
      <c r="I24" s="5"/>
      <c r="J24" s="5"/>
      <c r="K24" s="5"/>
      <c r="L24" s="5"/>
      <c r="M24" s="5"/>
      <c r="N24" s="5"/>
      <c r="O24" s="5"/>
    </row>
    <row r="25" spans="1:39" x14ac:dyDescent="0.3">
      <c r="I25" s="522" t="s">
        <v>34</v>
      </c>
      <c r="J25" s="522"/>
      <c r="K25" s="522"/>
      <c r="L25" s="522"/>
      <c r="M25" s="522"/>
      <c r="N25" s="522"/>
      <c r="O25" s="522"/>
      <c r="P25" s="545" t="s">
        <v>32</v>
      </c>
      <c r="Q25" s="545"/>
      <c r="R25" s="545"/>
      <c r="S25" s="545"/>
      <c r="T25" s="545"/>
      <c r="U25" s="545"/>
      <c r="V25" s="545"/>
    </row>
    <row r="26" spans="1:39" x14ac:dyDescent="0.3">
      <c r="I26" s="544" t="s">
        <v>35</v>
      </c>
      <c r="J26" s="544"/>
      <c r="K26" s="544"/>
      <c r="L26" s="544"/>
      <c r="M26" s="544"/>
      <c r="N26" s="544"/>
      <c r="O26" s="544"/>
      <c r="P26" s="545"/>
      <c r="Q26" s="545"/>
      <c r="R26" s="545"/>
      <c r="S26" s="545"/>
      <c r="T26" s="545"/>
      <c r="U26" s="545"/>
      <c r="V26" s="545"/>
    </row>
    <row r="27" spans="1:39" x14ac:dyDescent="0.3">
      <c r="I27" s="544" t="s">
        <v>36</v>
      </c>
      <c r="J27" s="544"/>
      <c r="K27" s="544"/>
      <c r="L27" s="544"/>
      <c r="M27" s="544"/>
      <c r="N27" s="544"/>
      <c r="O27" s="544"/>
      <c r="P27" s="545"/>
      <c r="Q27" s="545"/>
      <c r="R27" s="545"/>
      <c r="S27" s="545"/>
      <c r="T27" s="545"/>
      <c r="U27" s="545"/>
      <c r="V27" s="545"/>
    </row>
    <row r="28" spans="1:39" x14ac:dyDescent="0.3">
      <c r="I28" s="544" t="s">
        <v>33</v>
      </c>
      <c r="J28" s="544"/>
      <c r="K28" s="544"/>
      <c r="L28" s="544"/>
      <c r="M28" s="544"/>
      <c r="N28" s="544"/>
      <c r="O28" s="544"/>
      <c r="P28" s="545"/>
      <c r="Q28" s="545"/>
      <c r="R28" s="545"/>
      <c r="S28" s="545"/>
      <c r="T28" s="545"/>
      <c r="U28" s="545"/>
      <c r="V28" s="545"/>
    </row>
    <row r="29" spans="1:39" x14ac:dyDescent="0.3"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</row>
    <row r="30" spans="1:39" x14ac:dyDescent="0.3"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  <c r="V30" s="5"/>
    </row>
    <row r="31" spans="1:39" x14ac:dyDescent="0.3"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</row>
    <row r="32" spans="1:39" ht="13.5" thickBot="1" x14ac:dyDescent="0.35"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  <c r="V32" s="5"/>
    </row>
    <row r="33" spans="1:48" ht="15" thickBot="1" x14ac:dyDescent="0.4">
      <c r="A33" s="546" t="s">
        <v>37</v>
      </c>
      <c r="B33" s="547"/>
      <c r="C33" s="547"/>
      <c r="D33" s="547"/>
      <c r="E33" s="547"/>
      <c r="F33" s="547"/>
      <c r="G33" s="547"/>
      <c r="H33" s="547"/>
      <c r="I33" s="547"/>
      <c r="J33" s="547"/>
      <c r="K33" s="548"/>
      <c r="R33" s="549" t="s">
        <v>38</v>
      </c>
      <c r="S33" s="550"/>
      <c r="T33" s="550"/>
      <c r="U33" s="550"/>
      <c r="V33" s="550"/>
      <c r="W33" s="550"/>
      <c r="X33" s="550"/>
      <c r="Y33" s="551"/>
    </row>
    <row r="34" spans="1:48" ht="14.5" x14ac:dyDescent="0.35">
      <c r="A34" s="552" t="s">
        <v>39</v>
      </c>
      <c r="B34" s="553"/>
      <c r="C34" s="553"/>
      <c r="D34" s="553"/>
      <c r="E34" s="553"/>
      <c r="F34" s="553"/>
      <c r="G34" s="553"/>
      <c r="H34" s="553"/>
      <c r="I34" s="553"/>
      <c r="J34" s="553"/>
      <c r="K34" s="554"/>
      <c r="L34" s="55"/>
      <c r="M34" s="55"/>
      <c r="N34" s="55"/>
    </row>
    <row r="35" spans="1:48" ht="15" thickBot="1" x14ac:dyDescent="0.4">
      <c r="A35" s="555" t="s">
        <v>153</v>
      </c>
      <c r="B35" s="556"/>
      <c r="C35" s="556"/>
      <c r="D35" s="556"/>
      <c r="E35" s="556"/>
      <c r="F35" s="556"/>
      <c r="G35" s="556"/>
      <c r="H35" s="556"/>
      <c r="I35" s="556"/>
      <c r="J35" s="556"/>
      <c r="K35" s="557"/>
    </row>
    <row r="36" spans="1:48" ht="13.5" thickBot="1" x14ac:dyDescent="0.35"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5"/>
      <c r="U36" s="5"/>
      <c r="V36" s="5"/>
    </row>
    <row r="37" spans="1:48" s="9" customFormat="1" ht="15" thickBot="1" x14ac:dyDescent="0.4">
      <c r="A37" s="56" t="s">
        <v>41</v>
      </c>
      <c r="B37" s="541" t="s">
        <v>42</v>
      </c>
      <c r="C37" s="541"/>
      <c r="D37" s="541" t="s">
        <v>43</v>
      </c>
      <c r="E37" s="541"/>
      <c r="F37" s="541" t="s">
        <v>44</v>
      </c>
      <c r="G37" s="541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41"/>
      <c r="T37" s="541"/>
      <c r="U37" s="541"/>
      <c r="V37" s="541"/>
      <c r="W37" s="541"/>
      <c r="X37" s="541"/>
      <c r="Y37" s="541"/>
      <c r="Z37" s="541"/>
      <c r="AA37" s="541"/>
      <c r="AB37" s="541"/>
      <c r="AC37" s="541"/>
      <c r="AD37" s="541"/>
      <c r="AE37" s="541"/>
      <c r="AF37" s="541"/>
      <c r="AG37" s="541" t="s">
        <v>45</v>
      </c>
      <c r="AH37" s="541"/>
      <c r="AI37" s="541"/>
      <c r="AJ37" s="541"/>
      <c r="AK37" s="541"/>
      <c r="AL37" s="542"/>
      <c r="AV37" s="69"/>
    </row>
    <row r="38" spans="1:48" x14ac:dyDescent="0.3">
      <c r="A38" s="60">
        <v>46082</v>
      </c>
      <c r="B38" s="61"/>
      <c r="C38" s="13"/>
      <c r="D38" s="62"/>
      <c r="E38" s="14"/>
      <c r="F38" s="654"/>
      <c r="G38" s="654"/>
      <c r="H38" s="654"/>
      <c r="I38" s="654"/>
      <c r="J38" s="654"/>
      <c r="K38" s="654"/>
      <c r="L38" s="654"/>
      <c r="M38" s="654"/>
      <c r="N38" s="654"/>
      <c r="O38" s="654"/>
      <c r="P38" s="654"/>
      <c r="Q38" s="654"/>
      <c r="R38" s="654"/>
      <c r="S38" s="654"/>
      <c r="T38" s="654"/>
      <c r="U38" s="654"/>
      <c r="V38" s="654"/>
      <c r="W38" s="654"/>
      <c r="X38" s="654"/>
      <c r="Y38" s="654"/>
      <c r="Z38" s="654"/>
      <c r="AA38" s="654"/>
      <c r="AB38" s="654"/>
      <c r="AC38" s="654"/>
      <c r="AD38" s="654"/>
      <c r="AE38" s="654"/>
      <c r="AF38" s="654"/>
      <c r="AG38" s="537"/>
      <c r="AH38" s="537"/>
      <c r="AI38" s="537"/>
      <c r="AJ38" s="537"/>
      <c r="AK38" s="537"/>
      <c r="AL38" s="538"/>
      <c r="AM38" s="27"/>
    </row>
    <row r="39" spans="1:48" x14ac:dyDescent="0.3">
      <c r="A39" s="162">
        <v>46083</v>
      </c>
      <c r="B39" s="163"/>
      <c r="C39" s="164" t="s">
        <v>55</v>
      </c>
      <c r="D39" s="165"/>
      <c r="E39" s="166">
        <v>2</v>
      </c>
      <c r="F39" s="529" t="s">
        <v>154</v>
      </c>
      <c r="G39" s="529"/>
      <c r="H39" s="529"/>
      <c r="I39" s="529"/>
      <c r="J39" s="529"/>
      <c r="K39" s="529"/>
      <c r="L39" s="529"/>
      <c r="M39" s="529"/>
      <c r="N39" s="529"/>
      <c r="O39" s="529"/>
      <c r="P39" s="529"/>
      <c r="Q39" s="529"/>
      <c r="R39" s="529"/>
      <c r="S39" s="529"/>
      <c r="T39" s="529"/>
      <c r="U39" s="529"/>
      <c r="V39" s="529"/>
      <c r="W39" s="529"/>
      <c r="X39" s="529"/>
      <c r="Y39" s="529"/>
      <c r="Z39" s="529"/>
      <c r="AA39" s="529"/>
      <c r="AB39" s="529"/>
      <c r="AC39" s="529"/>
      <c r="AD39" s="529"/>
      <c r="AE39" s="529"/>
      <c r="AF39" s="529"/>
      <c r="AG39" s="529"/>
      <c r="AH39" s="529"/>
      <c r="AI39" s="529"/>
      <c r="AJ39" s="529"/>
      <c r="AK39" s="529"/>
      <c r="AL39" s="530"/>
      <c r="AM39" s="27"/>
    </row>
    <row r="40" spans="1:48" x14ac:dyDescent="0.3">
      <c r="A40" s="162">
        <v>46084</v>
      </c>
      <c r="B40" s="163"/>
      <c r="C40" s="164" t="s">
        <v>48</v>
      </c>
      <c r="D40" s="165"/>
      <c r="E40" s="166">
        <v>2</v>
      </c>
      <c r="F40" s="529" t="s">
        <v>155</v>
      </c>
      <c r="G40" s="529"/>
      <c r="H40" s="529"/>
      <c r="I40" s="529"/>
      <c r="J40" s="529"/>
      <c r="K40" s="529"/>
      <c r="L40" s="529"/>
      <c r="M40" s="529"/>
      <c r="N40" s="529"/>
      <c r="O40" s="529"/>
      <c r="P40" s="529"/>
      <c r="Q40" s="529"/>
      <c r="R40" s="529"/>
      <c r="S40" s="529"/>
      <c r="T40" s="529"/>
      <c r="U40" s="529"/>
      <c r="V40" s="529"/>
      <c r="W40" s="529"/>
      <c r="X40" s="529"/>
      <c r="Y40" s="529"/>
      <c r="Z40" s="529"/>
      <c r="AA40" s="529"/>
      <c r="AB40" s="529"/>
      <c r="AC40" s="529"/>
      <c r="AD40" s="529"/>
      <c r="AE40" s="529"/>
      <c r="AF40" s="529"/>
      <c r="AG40" s="529"/>
      <c r="AH40" s="529"/>
      <c r="AI40" s="529"/>
      <c r="AJ40" s="529"/>
      <c r="AK40" s="529"/>
      <c r="AL40" s="530"/>
      <c r="AM40" s="27"/>
    </row>
    <row r="41" spans="1:48" s="55" customFormat="1" x14ac:dyDescent="0.3">
      <c r="A41" s="162">
        <v>46085</v>
      </c>
      <c r="B41" s="163"/>
      <c r="C41" s="164" t="s">
        <v>48</v>
      </c>
      <c r="D41" s="165"/>
      <c r="E41" s="166">
        <v>2</v>
      </c>
      <c r="F41" s="529" t="s">
        <v>155</v>
      </c>
      <c r="G41" s="529"/>
      <c r="H41" s="529"/>
      <c r="I41" s="529"/>
      <c r="J41" s="529"/>
      <c r="K41" s="529"/>
      <c r="L41" s="529"/>
      <c r="M41" s="529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30"/>
      <c r="AM41" s="27"/>
      <c r="AO41" s="123"/>
      <c r="AP41" s="123"/>
    </row>
    <row r="42" spans="1:48" s="55" customFormat="1" x14ac:dyDescent="0.3">
      <c r="A42" s="162">
        <v>46086</v>
      </c>
      <c r="B42" s="163"/>
      <c r="C42" s="164" t="s">
        <v>48</v>
      </c>
      <c r="D42" s="165"/>
      <c r="E42" s="166">
        <v>2</v>
      </c>
      <c r="F42" s="529" t="s">
        <v>155</v>
      </c>
      <c r="G42" s="529"/>
      <c r="H42" s="529"/>
      <c r="I42" s="529"/>
      <c r="J42" s="529"/>
      <c r="K42" s="529"/>
      <c r="L42" s="529"/>
      <c r="M42" s="529"/>
      <c r="N42" s="529"/>
      <c r="O42" s="529"/>
      <c r="P42" s="529"/>
      <c r="Q42" s="529"/>
      <c r="R42" s="529"/>
      <c r="S42" s="529"/>
      <c r="T42" s="529"/>
      <c r="U42" s="529"/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30"/>
      <c r="AM42" s="27"/>
      <c r="AO42" s="123"/>
      <c r="AP42" s="123"/>
    </row>
    <row r="43" spans="1:48" s="55" customFormat="1" x14ac:dyDescent="0.3">
      <c r="A43" s="162">
        <v>46087</v>
      </c>
      <c r="B43" s="163"/>
      <c r="C43" s="164" t="s">
        <v>56</v>
      </c>
      <c r="D43" s="165"/>
      <c r="E43" s="166">
        <v>2</v>
      </c>
      <c r="F43" s="529" t="s">
        <v>155</v>
      </c>
      <c r="G43" s="529"/>
      <c r="H43" s="529"/>
      <c r="I43" s="529"/>
      <c r="J43" s="529"/>
      <c r="K43" s="529"/>
      <c r="L43" s="529"/>
      <c r="M43" s="529"/>
      <c r="N43" s="529"/>
      <c r="O43" s="529"/>
      <c r="P43" s="529"/>
      <c r="Q43" s="529"/>
      <c r="R43" s="529"/>
      <c r="S43" s="529"/>
      <c r="T43" s="529"/>
      <c r="U43" s="529"/>
      <c r="V43" s="529"/>
      <c r="W43" s="529"/>
      <c r="X43" s="529"/>
      <c r="Y43" s="529"/>
      <c r="Z43" s="529"/>
      <c r="AA43" s="529"/>
      <c r="AB43" s="529"/>
      <c r="AC43" s="529"/>
      <c r="AD43" s="529"/>
      <c r="AE43" s="529"/>
      <c r="AF43" s="529"/>
      <c r="AG43" s="529"/>
      <c r="AH43" s="529"/>
      <c r="AI43" s="529"/>
      <c r="AJ43" s="529"/>
      <c r="AK43" s="529"/>
      <c r="AL43" s="530"/>
      <c r="AM43" s="27"/>
      <c r="AO43" s="123"/>
      <c r="AP43" s="123"/>
    </row>
    <row r="44" spans="1:48" s="55" customFormat="1" x14ac:dyDescent="0.3">
      <c r="A44" s="60">
        <v>46088</v>
      </c>
      <c r="B44" s="61"/>
      <c r="C44" s="13"/>
      <c r="D44" s="62"/>
      <c r="E44" s="14"/>
      <c r="F44" s="537"/>
      <c r="G44" s="537"/>
      <c r="H44" s="537"/>
      <c r="I44" s="537"/>
      <c r="J44" s="537"/>
      <c r="K44" s="537"/>
      <c r="L44" s="537"/>
      <c r="M44" s="537"/>
      <c r="N44" s="537"/>
      <c r="O44" s="537"/>
      <c r="P44" s="537"/>
      <c r="Q44" s="537"/>
      <c r="R44" s="537"/>
      <c r="S44" s="537"/>
      <c r="T44" s="537"/>
      <c r="U44" s="537"/>
      <c r="V44" s="537"/>
      <c r="W44" s="537"/>
      <c r="X44" s="537"/>
      <c r="Y44" s="537"/>
      <c r="Z44" s="537"/>
      <c r="AA44" s="537"/>
      <c r="AB44" s="537"/>
      <c r="AC44" s="537"/>
      <c r="AD44" s="537"/>
      <c r="AE44" s="537"/>
      <c r="AF44" s="537"/>
      <c r="AG44" s="537"/>
      <c r="AH44" s="537"/>
      <c r="AI44" s="537"/>
      <c r="AJ44" s="537"/>
      <c r="AK44" s="537"/>
      <c r="AL44" s="538"/>
      <c r="AM44" s="27"/>
      <c r="AO44" s="123"/>
      <c r="AP44" s="123"/>
    </row>
    <row r="45" spans="1:48" s="55" customFormat="1" x14ac:dyDescent="0.3">
      <c r="A45" s="60">
        <v>46089</v>
      </c>
      <c r="B45" s="61"/>
      <c r="C45" s="13"/>
      <c r="D45" s="62"/>
      <c r="E45" s="14"/>
      <c r="F45" s="53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537"/>
      <c r="S45" s="537"/>
      <c r="T45" s="537"/>
      <c r="U45" s="537"/>
      <c r="V45" s="537"/>
      <c r="W45" s="537"/>
      <c r="X45" s="537"/>
      <c r="Y45" s="537"/>
      <c r="Z45" s="537"/>
      <c r="AA45" s="537"/>
      <c r="AB45" s="537"/>
      <c r="AC45" s="537"/>
      <c r="AD45" s="537"/>
      <c r="AE45" s="537"/>
      <c r="AF45" s="537"/>
      <c r="AG45" s="537"/>
      <c r="AH45" s="537"/>
      <c r="AI45" s="537"/>
      <c r="AJ45" s="537"/>
      <c r="AK45" s="537"/>
      <c r="AL45" s="538"/>
      <c r="AM45" s="27"/>
      <c r="AO45" s="123"/>
      <c r="AP45" s="123"/>
    </row>
    <row r="46" spans="1:48" s="55" customFormat="1" x14ac:dyDescent="0.3">
      <c r="A46" s="162">
        <v>46090</v>
      </c>
      <c r="B46" s="163"/>
      <c r="C46" s="164" t="s">
        <v>48</v>
      </c>
      <c r="D46" s="165"/>
      <c r="E46" s="166">
        <v>2</v>
      </c>
      <c r="F46" s="529" t="s">
        <v>156</v>
      </c>
      <c r="G46" s="529"/>
      <c r="H46" s="529"/>
      <c r="I46" s="529"/>
      <c r="J46" s="529"/>
      <c r="K46" s="529"/>
      <c r="L46" s="529"/>
      <c r="M46" s="529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30"/>
      <c r="AM46" s="27"/>
      <c r="AO46" s="123"/>
      <c r="AP46" s="123"/>
    </row>
    <row r="47" spans="1:48" s="55" customFormat="1" x14ac:dyDescent="0.3">
      <c r="A47" s="162">
        <v>46091</v>
      </c>
      <c r="B47" s="163"/>
      <c r="C47" s="164" t="s">
        <v>48</v>
      </c>
      <c r="D47" s="165"/>
      <c r="E47" s="166">
        <v>2</v>
      </c>
      <c r="F47" s="529" t="s">
        <v>156</v>
      </c>
      <c r="G47" s="529"/>
      <c r="H47" s="529"/>
      <c r="I47" s="529"/>
      <c r="J47" s="529"/>
      <c r="K47" s="529"/>
      <c r="L47" s="529"/>
      <c r="M47" s="529"/>
      <c r="N47" s="529"/>
      <c r="O47" s="529"/>
      <c r="P47" s="529"/>
      <c r="Q47" s="529"/>
      <c r="R47" s="529"/>
      <c r="S47" s="529"/>
      <c r="T47" s="529"/>
      <c r="U47" s="529"/>
      <c r="V47" s="529"/>
      <c r="W47" s="529"/>
      <c r="X47" s="529"/>
      <c r="Y47" s="529"/>
      <c r="Z47" s="529"/>
      <c r="AA47" s="529"/>
      <c r="AB47" s="529"/>
      <c r="AC47" s="529"/>
      <c r="AD47" s="529"/>
      <c r="AE47" s="529"/>
      <c r="AF47" s="529"/>
      <c r="AG47" s="529"/>
      <c r="AH47" s="529"/>
      <c r="AI47" s="529"/>
      <c r="AJ47" s="529"/>
      <c r="AK47" s="529"/>
      <c r="AL47" s="530"/>
      <c r="AM47" s="27"/>
      <c r="AO47" s="123"/>
      <c r="AP47" s="123"/>
    </row>
    <row r="48" spans="1:48" s="55" customFormat="1" x14ac:dyDescent="0.3">
      <c r="A48" s="162">
        <v>46092</v>
      </c>
      <c r="B48" s="163"/>
      <c r="C48" s="164" t="s">
        <v>48</v>
      </c>
      <c r="D48" s="165"/>
      <c r="E48" s="166">
        <v>2</v>
      </c>
      <c r="F48" s="529" t="s">
        <v>156</v>
      </c>
      <c r="G48" s="529"/>
      <c r="H48" s="529"/>
      <c r="I48" s="529"/>
      <c r="J48" s="529"/>
      <c r="K48" s="529"/>
      <c r="L48" s="529"/>
      <c r="M48" s="529"/>
      <c r="N48" s="529"/>
      <c r="O48" s="529"/>
      <c r="P48" s="529"/>
      <c r="Q48" s="529"/>
      <c r="R48" s="529"/>
      <c r="S48" s="529"/>
      <c r="T48" s="529"/>
      <c r="U48" s="529"/>
      <c r="V48" s="529"/>
      <c r="W48" s="529"/>
      <c r="X48" s="529"/>
      <c r="Y48" s="529"/>
      <c r="Z48" s="529"/>
      <c r="AA48" s="529"/>
      <c r="AB48" s="529"/>
      <c r="AC48" s="529"/>
      <c r="AD48" s="529"/>
      <c r="AE48" s="529"/>
      <c r="AF48" s="529"/>
      <c r="AG48" s="529"/>
      <c r="AH48" s="529"/>
      <c r="AI48" s="529"/>
      <c r="AJ48" s="529"/>
      <c r="AK48" s="529"/>
      <c r="AL48" s="530"/>
      <c r="AM48" s="27"/>
      <c r="AO48" s="123"/>
      <c r="AP48" s="123"/>
    </row>
    <row r="49" spans="1:42" s="55" customFormat="1" x14ac:dyDescent="0.3">
      <c r="A49" s="162">
        <v>46093</v>
      </c>
      <c r="B49" s="163"/>
      <c r="C49" s="164" t="s">
        <v>48</v>
      </c>
      <c r="D49" s="165"/>
      <c r="E49" s="166">
        <v>2</v>
      </c>
      <c r="F49" s="529" t="s">
        <v>156</v>
      </c>
      <c r="G49" s="529"/>
      <c r="H49" s="529"/>
      <c r="I49" s="529"/>
      <c r="J49" s="529"/>
      <c r="K49" s="529"/>
      <c r="L49" s="529"/>
      <c r="M49" s="529"/>
      <c r="N49" s="529"/>
      <c r="O49" s="529"/>
      <c r="P49" s="529"/>
      <c r="Q49" s="529"/>
      <c r="R49" s="529"/>
      <c r="S49" s="529"/>
      <c r="T49" s="529"/>
      <c r="U49" s="529"/>
      <c r="V49" s="529"/>
      <c r="W49" s="529"/>
      <c r="X49" s="529"/>
      <c r="Y49" s="529"/>
      <c r="Z49" s="529"/>
      <c r="AA49" s="529"/>
      <c r="AB49" s="529"/>
      <c r="AC49" s="529"/>
      <c r="AD49" s="529"/>
      <c r="AE49" s="529"/>
      <c r="AF49" s="529"/>
      <c r="AG49" s="529"/>
      <c r="AH49" s="529"/>
      <c r="AI49" s="529"/>
      <c r="AJ49" s="529"/>
      <c r="AK49" s="529"/>
      <c r="AL49" s="530"/>
      <c r="AM49" s="27"/>
      <c r="AO49" s="123"/>
      <c r="AP49" s="123"/>
    </row>
    <row r="50" spans="1:42" s="55" customFormat="1" x14ac:dyDescent="0.3">
      <c r="A50" s="162">
        <v>46094</v>
      </c>
      <c r="B50" s="163"/>
      <c r="C50" s="164" t="s">
        <v>48</v>
      </c>
      <c r="D50" s="165"/>
      <c r="E50" s="166">
        <v>2</v>
      </c>
      <c r="F50" s="529" t="s">
        <v>156</v>
      </c>
      <c r="G50" s="529"/>
      <c r="H50" s="529"/>
      <c r="I50" s="529"/>
      <c r="J50" s="529"/>
      <c r="K50" s="529"/>
      <c r="L50" s="529"/>
      <c r="M50" s="529"/>
      <c r="N50" s="529"/>
      <c r="O50" s="529"/>
      <c r="P50" s="529"/>
      <c r="Q50" s="529"/>
      <c r="R50" s="529"/>
      <c r="S50" s="529"/>
      <c r="T50" s="529"/>
      <c r="U50" s="529"/>
      <c r="V50" s="529"/>
      <c r="W50" s="529"/>
      <c r="X50" s="529"/>
      <c r="Y50" s="529"/>
      <c r="Z50" s="529"/>
      <c r="AA50" s="529"/>
      <c r="AB50" s="529"/>
      <c r="AC50" s="529"/>
      <c r="AD50" s="529"/>
      <c r="AE50" s="529"/>
      <c r="AF50" s="529"/>
      <c r="AG50" s="529"/>
      <c r="AH50" s="529"/>
      <c r="AI50" s="529"/>
      <c r="AJ50" s="529"/>
      <c r="AK50" s="529"/>
      <c r="AL50" s="530"/>
      <c r="AM50" s="27"/>
      <c r="AO50" s="123"/>
      <c r="AP50" s="123"/>
    </row>
    <row r="51" spans="1:42" s="55" customFormat="1" x14ac:dyDescent="0.3">
      <c r="A51" s="60">
        <v>46095</v>
      </c>
      <c r="B51" s="61"/>
      <c r="C51" s="13"/>
      <c r="D51" s="62"/>
      <c r="E51" s="14"/>
      <c r="F51" s="537"/>
      <c r="G51" s="537"/>
      <c r="H51" s="537"/>
      <c r="I51" s="537"/>
      <c r="J51" s="537"/>
      <c r="K51" s="537"/>
      <c r="L51" s="537"/>
      <c r="M51" s="537"/>
      <c r="N51" s="537"/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  <c r="Z51" s="537"/>
      <c r="AA51" s="537"/>
      <c r="AB51" s="537"/>
      <c r="AC51" s="537"/>
      <c r="AD51" s="537"/>
      <c r="AE51" s="537"/>
      <c r="AF51" s="537"/>
      <c r="AG51" s="537"/>
      <c r="AH51" s="537"/>
      <c r="AI51" s="537"/>
      <c r="AJ51" s="537"/>
      <c r="AK51" s="537"/>
      <c r="AL51" s="538"/>
      <c r="AM51" s="27"/>
      <c r="AO51" s="123"/>
      <c r="AP51" s="123"/>
    </row>
    <row r="52" spans="1:42" s="55" customFormat="1" x14ac:dyDescent="0.3">
      <c r="A52" s="60">
        <v>46096</v>
      </c>
      <c r="B52" s="61"/>
      <c r="C52" s="13"/>
      <c r="D52" s="62"/>
      <c r="E52" s="14"/>
      <c r="F52" s="537"/>
      <c r="G52" s="537"/>
      <c r="H52" s="537"/>
      <c r="I52" s="537"/>
      <c r="J52" s="537"/>
      <c r="K52" s="537"/>
      <c r="L52" s="537"/>
      <c r="M52" s="537"/>
      <c r="N52" s="537"/>
      <c r="O52" s="537"/>
      <c r="P52" s="537"/>
      <c r="Q52" s="537"/>
      <c r="R52" s="537"/>
      <c r="S52" s="537"/>
      <c r="T52" s="537"/>
      <c r="U52" s="537"/>
      <c r="V52" s="537"/>
      <c r="W52" s="537"/>
      <c r="X52" s="537"/>
      <c r="Y52" s="537"/>
      <c r="Z52" s="537"/>
      <c r="AA52" s="537"/>
      <c r="AB52" s="537"/>
      <c r="AC52" s="537"/>
      <c r="AD52" s="537"/>
      <c r="AE52" s="537"/>
      <c r="AF52" s="537"/>
      <c r="AG52" s="537"/>
      <c r="AH52" s="537"/>
      <c r="AI52" s="537"/>
      <c r="AJ52" s="537"/>
      <c r="AK52" s="537"/>
      <c r="AL52" s="538"/>
      <c r="AM52" s="27"/>
      <c r="AO52" s="123"/>
      <c r="AP52" s="123"/>
    </row>
    <row r="53" spans="1:42" s="55" customFormat="1" x14ac:dyDescent="0.3">
      <c r="A53" s="162">
        <v>46097</v>
      </c>
      <c r="B53" s="163"/>
      <c r="C53" s="164" t="s">
        <v>48</v>
      </c>
      <c r="D53" s="165"/>
      <c r="E53" s="166">
        <v>2</v>
      </c>
      <c r="F53" s="529" t="s">
        <v>157</v>
      </c>
      <c r="G53" s="529"/>
      <c r="H53" s="529"/>
      <c r="I53" s="529"/>
      <c r="J53" s="529"/>
      <c r="K53" s="529"/>
      <c r="L53" s="529"/>
      <c r="M53" s="529"/>
      <c r="N53" s="529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529"/>
      <c r="AH53" s="529"/>
      <c r="AI53" s="529"/>
      <c r="AJ53" s="529"/>
      <c r="AK53" s="529"/>
      <c r="AL53" s="530"/>
      <c r="AM53" s="27"/>
      <c r="AO53" s="123"/>
      <c r="AP53" s="123"/>
    </row>
    <row r="54" spans="1:42" s="55" customFormat="1" x14ac:dyDescent="0.3">
      <c r="A54" s="162">
        <v>46098</v>
      </c>
      <c r="B54" s="163"/>
      <c r="C54" s="164" t="s">
        <v>48</v>
      </c>
      <c r="D54" s="165"/>
      <c r="E54" s="166">
        <v>2</v>
      </c>
      <c r="F54" s="529" t="s">
        <v>157</v>
      </c>
      <c r="G54" s="529"/>
      <c r="H54" s="529"/>
      <c r="I54" s="529"/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/>
      <c r="AF54" s="529"/>
      <c r="AG54" s="529"/>
      <c r="AH54" s="529"/>
      <c r="AI54" s="529"/>
      <c r="AJ54" s="529"/>
      <c r="AK54" s="529"/>
      <c r="AL54" s="530"/>
      <c r="AM54" s="27"/>
      <c r="AO54" s="123"/>
      <c r="AP54" s="123"/>
    </row>
    <row r="55" spans="1:42" s="55" customFormat="1" x14ac:dyDescent="0.3">
      <c r="A55" s="162">
        <v>46099</v>
      </c>
      <c r="B55" s="163"/>
      <c r="C55" s="164" t="s">
        <v>48</v>
      </c>
      <c r="D55" s="165"/>
      <c r="E55" s="166">
        <v>2</v>
      </c>
      <c r="F55" s="529" t="s">
        <v>158</v>
      </c>
      <c r="G55" s="529"/>
      <c r="H55" s="529"/>
      <c r="I55" s="529"/>
      <c r="J55" s="529"/>
      <c r="K55" s="529"/>
      <c r="L55" s="529"/>
      <c r="M55" s="529"/>
      <c r="N55" s="529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529"/>
      <c r="AI55" s="529"/>
      <c r="AJ55" s="529"/>
      <c r="AK55" s="529"/>
      <c r="AL55" s="530"/>
      <c r="AM55" s="27"/>
      <c r="AO55" s="123"/>
      <c r="AP55" s="123"/>
    </row>
    <row r="56" spans="1:42" s="55" customFormat="1" x14ac:dyDescent="0.3">
      <c r="A56" s="162">
        <v>46100</v>
      </c>
      <c r="B56" s="163"/>
      <c r="C56" s="164" t="s">
        <v>48</v>
      </c>
      <c r="D56" s="165"/>
      <c r="E56" s="166">
        <v>2</v>
      </c>
      <c r="F56" s="529" t="s">
        <v>158</v>
      </c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529"/>
      <c r="AH56" s="529"/>
      <c r="AI56" s="529"/>
      <c r="AJ56" s="529"/>
      <c r="AK56" s="529"/>
      <c r="AL56" s="530"/>
      <c r="AM56" s="27"/>
      <c r="AO56" s="123"/>
      <c r="AP56" s="123"/>
    </row>
    <row r="57" spans="1:42" s="55" customFormat="1" x14ac:dyDescent="0.3">
      <c r="A57" s="162">
        <v>46101</v>
      </c>
      <c r="B57" s="163"/>
      <c r="C57" s="164" t="s">
        <v>48</v>
      </c>
      <c r="D57" s="165"/>
      <c r="E57" s="166">
        <v>2</v>
      </c>
      <c r="F57" s="529" t="s">
        <v>158</v>
      </c>
      <c r="G57" s="529"/>
      <c r="H57" s="529"/>
      <c r="I57" s="529"/>
      <c r="J57" s="529"/>
      <c r="K57" s="529"/>
      <c r="L57" s="529"/>
      <c r="M57" s="529"/>
      <c r="N57" s="529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  <c r="AA57" s="529"/>
      <c r="AB57" s="529"/>
      <c r="AC57" s="529"/>
      <c r="AD57" s="529"/>
      <c r="AE57" s="529"/>
      <c r="AF57" s="529"/>
      <c r="AG57" s="529"/>
      <c r="AH57" s="529"/>
      <c r="AI57" s="529"/>
      <c r="AJ57" s="529"/>
      <c r="AK57" s="529"/>
      <c r="AL57" s="530"/>
      <c r="AM57" s="27"/>
      <c r="AO57" s="123"/>
      <c r="AP57" s="123"/>
    </row>
    <row r="58" spans="1:42" s="55" customFormat="1" x14ac:dyDescent="0.3">
      <c r="A58" s="60">
        <v>46102</v>
      </c>
      <c r="B58" s="61"/>
      <c r="C58" s="13"/>
      <c r="D58" s="62"/>
      <c r="E58" s="14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  <c r="AB58" s="537"/>
      <c r="AC58" s="537"/>
      <c r="AD58" s="537"/>
      <c r="AE58" s="537"/>
      <c r="AF58" s="537"/>
      <c r="AG58" s="537"/>
      <c r="AH58" s="537"/>
      <c r="AI58" s="537"/>
      <c r="AJ58" s="537"/>
      <c r="AK58" s="537"/>
      <c r="AL58" s="538"/>
      <c r="AM58" s="27"/>
      <c r="AO58" s="123"/>
      <c r="AP58" s="123"/>
    </row>
    <row r="59" spans="1:42" s="55" customFormat="1" x14ac:dyDescent="0.3">
      <c r="A59" s="60">
        <v>46103</v>
      </c>
      <c r="B59" s="61"/>
      <c r="C59" s="13"/>
      <c r="D59" s="62"/>
      <c r="E59" s="14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537"/>
      <c r="AD59" s="537"/>
      <c r="AE59" s="537"/>
      <c r="AF59" s="537"/>
      <c r="AG59" s="537"/>
      <c r="AH59" s="537"/>
      <c r="AI59" s="537"/>
      <c r="AJ59" s="537"/>
      <c r="AK59" s="537"/>
      <c r="AL59" s="538"/>
      <c r="AM59" s="27"/>
      <c r="AO59" s="123"/>
      <c r="AP59" s="123"/>
    </row>
    <row r="60" spans="1:42" s="55" customFormat="1" x14ac:dyDescent="0.3">
      <c r="A60" s="162">
        <v>46104</v>
      </c>
      <c r="B60" s="163"/>
      <c r="C60" s="164"/>
      <c r="D60" s="165"/>
      <c r="E60" s="166">
        <v>2</v>
      </c>
      <c r="F60" s="529"/>
      <c r="G60" s="529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529"/>
      <c r="AK60" s="529"/>
      <c r="AL60" s="530"/>
      <c r="AM60" s="27"/>
      <c r="AO60" s="123"/>
      <c r="AP60" s="123"/>
    </row>
    <row r="61" spans="1:42" s="55" customFormat="1" x14ac:dyDescent="0.3">
      <c r="A61" s="162">
        <v>46105</v>
      </c>
      <c r="B61" s="163"/>
      <c r="C61" s="164" t="s">
        <v>48</v>
      </c>
      <c r="D61" s="165"/>
      <c r="E61" s="166">
        <v>2</v>
      </c>
      <c r="F61" s="529" t="s">
        <v>159</v>
      </c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529"/>
      <c r="AH61" s="529"/>
      <c r="AI61" s="529"/>
      <c r="AJ61" s="529"/>
      <c r="AK61" s="529"/>
      <c r="AL61" s="530"/>
      <c r="AM61" s="27"/>
      <c r="AO61" s="123"/>
      <c r="AP61" s="123"/>
    </row>
    <row r="62" spans="1:42" s="55" customFormat="1" x14ac:dyDescent="0.3">
      <c r="A62" s="162">
        <v>46106</v>
      </c>
      <c r="B62" s="163"/>
      <c r="C62" s="164" t="s">
        <v>48</v>
      </c>
      <c r="D62" s="165"/>
      <c r="E62" s="166">
        <v>2</v>
      </c>
      <c r="F62" s="529" t="s">
        <v>159</v>
      </c>
      <c r="G62" s="529"/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/>
      <c r="AH62" s="529"/>
      <c r="AI62" s="529"/>
      <c r="AJ62" s="529"/>
      <c r="AK62" s="529"/>
      <c r="AL62" s="530"/>
      <c r="AM62" s="27"/>
      <c r="AO62" s="123"/>
      <c r="AP62" s="123"/>
    </row>
    <row r="63" spans="1:42" s="55" customFormat="1" x14ac:dyDescent="0.3">
      <c r="A63" s="162">
        <v>46107</v>
      </c>
      <c r="B63" s="163"/>
      <c r="C63" s="164" t="s">
        <v>48</v>
      </c>
      <c r="D63" s="165"/>
      <c r="E63" s="166">
        <v>2</v>
      </c>
      <c r="F63" s="529" t="s">
        <v>160</v>
      </c>
      <c r="G63" s="529"/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529"/>
      <c r="AH63" s="529"/>
      <c r="AI63" s="529"/>
      <c r="AJ63" s="529"/>
      <c r="AK63" s="529"/>
      <c r="AL63" s="530"/>
      <c r="AM63" s="27"/>
      <c r="AO63" s="123"/>
      <c r="AP63" s="123"/>
    </row>
    <row r="64" spans="1:42" s="55" customFormat="1" x14ac:dyDescent="0.3">
      <c r="A64" s="162">
        <v>46108</v>
      </c>
      <c r="B64" s="163"/>
      <c r="C64" s="164" t="s">
        <v>48</v>
      </c>
      <c r="D64" s="165"/>
      <c r="E64" s="166">
        <v>2</v>
      </c>
      <c r="F64" s="529" t="s">
        <v>160</v>
      </c>
      <c r="G64" s="529"/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29"/>
      <c r="AB64" s="529"/>
      <c r="AC64" s="529"/>
      <c r="AD64" s="529"/>
      <c r="AE64" s="529"/>
      <c r="AF64" s="529"/>
      <c r="AG64" s="529"/>
      <c r="AH64" s="529"/>
      <c r="AI64" s="529"/>
      <c r="AJ64" s="529"/>
      <c r="AK64" s="529"/>
      <c r="AL64" s="530"/>
      <c r="AM64" s="27"/>
      <c r="AO64" s="123"/>
      <c r="AP64" s="123"/>
    </row>
    <row r="65" spans="1:42" s="55" customFormat="1" x14ac:dyDescent="0.3">
      <c r="A65" s="60">
        <v>46109</v>
      </c>
      <c r="B65" s="61"/>
      <c r="C65" s="13"/>
      <c r="D65" s="62"/>
      <c r="E65" s="14"/>
      <c r="F65" s="537"/>
      <c r="G65" s="537"/>
      <c r="H65" s="537"/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  <c r="Z65" s="537"/>
      <c r="AA65" s="537"/>
      <c r="AB65" s="537"/>
      <c r="AC65" s="537"/>
      <c r="AD65" s="537"/>
      <c r="AE65" s="537"/>
      <c r="AF65" s="537"/>
      <c r="AG65" s="537"/>
      <c r="AH65" s="537"/>
      <c r="AI65" s="537"/>
      <c r="AJ65" s="537"/>
      <c r="AK65" s="537"/>
      <c r="AL65" s="538"/>
      <c r="AM65" s="27"/>
      <c r="AO65" s="123"/>
      <c r="AP65" s="123"/>
    </row>
    <row r="66" spans="1:42" s="55" customFormat="1" x14ac:dyDescent="0.3">
      <c r="A66" s="60">
        <v>46110</v>
      </c>
      <c r="B66" s="61"/>
      <c r="C66" s="13"/>
      <c r="D66" s="62"/>
      <c r="E66" s="14"/>
      <c r="F66" s="537"/>
      <c r="G66" s="537"/>
      <c r="H66" s="537"/>
      <c r="I66" s="537"/>
      <c r="J66" s="537"/>
      <c r="K66" s="537"/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7"/>
      <c r="W66" s="537"/>
      <c r="X66" s="537"/>
      <c r="Y66" s="537"/>
      <c r="Z66" s="537"/>
      <c r="AA66" s="537"/>
      <c r="AB66" s="537"/>
      <c r="AC66" s="537"/>
      <c r="AD66" s="537"/>
      <c r="AE66" s="537"/>
      <c r="AF66" s="537"/>
      <c r="AG66" s="537"/>
      <c r="AH66" s="537"/>
      <c r="AI66" s="537"/>
      <c r="AJ66" s="537"/>
      <c r="AK66" s="537"/>
      <c r="AL66" s="538"/>
      <c r="AM66" s="27"/>
      <c r="AO66" s="123"/>
      <c r="AP66" s="123"/>
    </row>
    <row r="67" spans="1:42" s="55" customFormat="1" x14ac:dyDescent="0.3">
      <c r="A67" s="162">
        <v>46111</v>
      </c>
      <c r="B67" s="163"/>
      <c r="C67" s="164" t="s">
        <v>48</v>
      </c>
      <c r="D67" s="165"/>
      <c r="E67" s="166">
        <v>2</v>
      </c>
      <c r="F67" s="529" t="s">
        <v>160</v>
      </c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529"/>
      <c r="AG67" s="529"/>
      <c r="AH67" s="529"/>
      <c r="AI67" s="529"/>
      <c r="AJ67" s="529"/>
      <c r="AK67" s="529"/>
      <c r="AL67" s="530"/>
      <c r="AM67" s="27"/>
      <c r="AO67" s="123"/>
      <c r="AP67" s="123"/>
    </row>
    <row r="68" spans="1:42" s="55" customFormat="1" ht="13.5" thickBot="1" x14ac:dyDescent="0.35">
      <c r="A68" s="273">
        <v>46112</v>
      </c>
      <c r="B68" s="274"/>
      <c r="C68" s="275" t="s">
        <v>48</v>
      </c>
      <c r="D68" s="276"/>
      <c r="E68" s="277">
        <v>2</v>
      </c>
      <c r="F68" s="531" t="s">
        <v>154</v>
      </c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531"/>
      <c r="U68" s="531"/>
      <c r="V68" s="531"/>
      <c r="W68" s="531"/>
      <c r="X68" s="531"/>
      <c r="Y68" s="531"/>
      <c r="Z68" s="531"/>
      <c r="AA68" s="531"/>
      <c r="AB68" s="531"/>
      <c r="AC68" s="531"/>
      <c r="AD68" s="531"/>
      <c r="AE68" s="531"/>
      <c r="AF68" s="531"/>
      <c r="AG68" s="531"/>
      <c r="AH68" s="531"/>
      <c r="AI68" s="531"/>
      <c r="AJ68" s="531"/>
      <c r="AK68" s="531"/>
      <c r="AL68" s="532"/>
      <c r="AM68" s="27"/>
      <c r="AO68" s="123"/>
      <c r="AP68" s="123"/>
    </row>
    <row r="69" spans="1:42" s="55" customFormat="1" ht="15" thickBot="1" x14ac:dyDescent="0.35">
      <c r="A69" s="269" t="s">
        <v>53</v>
      </c>
      <c r="B69" s="270"/>
      <c r="C69" s="270"/>
      <c r="D69" s="271"/>
      <c r="E69" s="272">
        <f>SUM(E38:E68)</f>
        <v>44</v>
      </c>
      <c r="F69" s="4"/>
      <c r="G69" s="4"/>
      <c r="H69" s="4" t="s">
        <v>161</v>
      </c>
      <c r="I69" s="6"/>
      <c r="J69" s="6"/>
      <c r="K69" s="6"/>
      <c r="L69" s="6"/>
      <c r="M69" s="6"/>
      <c r="N69" s="6"/>
      <c r="O69" s="6"/>
      <c r="P69" s="5"/>
      <c r="Q69" s="5"/>
      <c r="R69" s="5"/>
      <c r="S69" s="5"/>
      <c r="T69" s="5"/>
      <c r="U69" s="5"/>
      <c r="V69" s="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O69" s="123"/>
      <c r="AP69" s="123"/>
    </row>
    <row r="70" spans="1:42" s="55" customFormat="1" ht="13.5" thickBot="1" x14ac:dyDescent="0.35">
      <c r="A70" s="533" t="s">
        <v>54</v>
      </c>
      <c r="B70" s="535" t="s">
        <v>55</v>
      </c>
      <c r="C70" s="536"/>
      <c r="D70" s="535" t="s">
        <v>56</v>
      </c>
      <c r="E70" s="536"/>
      <c r="F70" s="535" t="s">
        <v>46</v>
      </c>
      <c r="G70" s="536"/>
      <c r="H70" s="535" t="s">
        <v>48</v>
      </c>
      <c r="I70" s="536"/>
      <c r="J70" s="525"/>
      <c r="K70" s="522"/>
      <c r="L70" s="522"/>
      <c r="M70" s="522"/>
      <c r="N70" s="6"/>
      <c r="O70" s="6"/>
      <c r="P70" s="5"/>
      <c r="Q70" s="5"/>
      <c r="R70" s="5"/>
      <c r="S70" s="5"/>
      <c r="T70" s="5"/>
      <c r="U70" s="5"/>
      <c r="V70" s="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O70" s="123"/>
      <c r="AP70" s="123"/>
    </row>
    <row r="71" spans="1:42" s="55" customFormat="1" ht="13.5" thickBot="1" x14ac:dyDescent="0.35">
      <c r="A71" s="534"/>
      <c r="B71" s="523">
        <f>SUMIFS($E$38:$E$68,$C$38:$C$68,"WP1")</f>
        <v>2</v>
      </c>
      <c r="C71" s="524"/>
      <c r="D71" s="523">
        <f>SUMIFS($E$38:$E$68,$C$38:$C$68,"WP2")</f>
        <v>2</v>
      </c>
      <c r="E71" s="524"/>
      <c r="F71" s="523">
        <f>SUMIFS($E$38:$E$68,$C$38:$C$68,"WP3")</f>
        <v>0</v>
      </c>
      <c r="G71" s="524"/>
      <c r="H71" s="523">
        <f>SUMIFS($E$38:$E$68,$C$38:$C$68,"WP4")</f>
        <v>38</v>
      </c>
      <c r="I71" s="524"/>
      <c r="J71" s="525"/>
      <c r="K71" s="522"/>
      <c r="L71" s="522"/>
      <c r="M71" s="522"/>
      <c r="N71" s="6"/>
      <c r="O71" s="6"/>
      <c r="P71" s="5"/>
      <c r="Q71" s="5"/>
      <c r="R71" s="5"/>
      <c r="S71" s="5"/>
      <c r="T71" s="5"/>
      <c r="U71" s="5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O71" s="123"/>
      <c r="AP71" s="123"/>
    </row>
    <row r="72" spans="1:42" x14ac:dyDescent="0.3"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5"/>
      <c r="U72" s="5"/>
      <c r="V72" s="5"/>
    </row>
    <row r="73" spans="1:42" x14ac:dyDescent="0.3">
      <c r="I73" s="6"/>
      <c r="J73" s="6"/>
      <c r="K73" s="6"/>
      <c r="L73" s="6"/>
      <c r="M73" s="6"/>
      <c r="N73" s="6"/>
      <c r="O73" s="6"/>
      <c r="P73" s="5"/>
      <c r="Q73" s="5"/>
      <c r="R73" s="5"/>
      <c r="S73" s="5"/>
      <c r="T73" s="5"/>
      <c r="U73" s="5"/>
      <c r="V73" s="5"/>
    </row>
    <row r="74" spans="1:42" x14ac:dyDescent="0.3">
      <c r="I74" s="6"/>
      <c r="J74" s="6"/>
      <c r="K74" s="6"/>
      <c r="L74" s="6"/>
      <c r="M74" s="6"/>
      <c r="N74" s="6"/>
      <c r="O74" s="6"/>
      <c r="P74" s="5"/>
      <c r="Q74" s="5"/>
      <c r="R74" s="5"/>
      <c r="S74" s="5"/>
      <c r="T74" s="5"/>
      <c r="U74" s="5"/>
      <c r="V74" s="5"/>
    </row>
    <row r="75" spans="1:42" x14ac:dyDescent="0.3">
      <c r="I75" s="6"/>
      <c r="J75" s="6"/>
      <c r="K75" s="6"/>
      <c r="L75" s="6"/>
      <c r="M75" s="6"/>
      <c r="N75" s="6"/>
      <c r="O75" s="6"/>
      <c r="P75" s="5"/>
      <c r="Q75" s="5"/>
      <c r="R75" s="5"/>
      <c r="S75" s="5"/>
      <c r="T75" s="5"/>
      <c r="U75" s="5"/>
      <c r="V75" s="5"/>
    </row>
    <row r="76" spans="1:42" x14ac:dyDescent="0.3">
      <c r="I76" s="6"/>
      <c r="J76" s="6"/>
      <c r="K76" s="6"/>
      <c r="L76" s="6"/>
      <c r="M76" s="6"/>
      <c r="N76" s="6"/>
      <c r="O76" s="6"/>
      <c r="P76" s="5"/>
      <c r="Q76" s="5"/>
      <c r="R76" s="5"/>
      <c r="S76" s="5"/>
      <c r="T76" s="5"/>
      <c r="U76" s="5"/>
      <c r="V76" s="5"/>
    </row>
    <row r="77" spans="1:42" x14ac:dyDescent="0.3">
      <c r="I77" s="6"/>
      <c r="J77" s="6"/>
      <c r="K77" s="6"/>
      <c r="L77" s="6"/>
      <c r="M77" s="6"/>
      <c r="N77" s="6"/>
      <c r="O77" s="6"/>
      <c r="P77" s="5"/>
      <c r="Q77" s="5"/>
      <c r="R77" s="5"/>
      <c r="S77" s="5"/>
      <c r="T77" s="5"/>
      <c r="U77" s="5"/>
      <c r="V77" s="5"/>
    </row>
    <row r="78" spans="1:42" x14ac:dyDescent="0.3">
      <c r="I78" s="6"/>
      <c r="J78" s="6"/>
      <c r="K78" s="6"/>
      <c r="L78" s="6"/>
      <c r="M78" s="6"/>
      <c r="N78" s="6"/>
      <c r="O78" s="6"/>
      <c r="P78" s="5"/>
      <c r="Q78" s="5"/>
      <c r="R78" s="5"/>
      <c r="S78" s="5"/>
      <c r="T78" s="5"/>
      <c r="U78" s="5"/>
      <c r="V78" s="5"/>
    </row>
    <row r="79" spans="1:42" x14ac:dyDescent="0.3">
      <c r="I79" s="6"/>
      <c r="J79" s="6"/>
      <c r="K79" s="6"/>
      <c r="L79" s="6"/>
      <c r="M79" s="6"/>
      <c r="N79" s="6"/>
      <c r="O79" s="6"/>
      <c r="P79" s="5"/>
      <c r="Q79" s="5"/>
      <c r="R79" s="5"/>
      <c r="S79" s="5"/>
      <c r="T79" s="5"/>
      <c r="U79" s="5"/>
      <c r="V79" s="5"/>
    </row>
    <row r="80" spans="1:42" x14ac:dyDescent="0.3">
      <c r="A80" s="15"/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5"/>
      <c r="U80" s="5"/>
      <c r="V80" s="5"/>
    </row>
    <row r="81" spans="1:22" x14ac:dyDescent="0.3">
      <c r="I81" s="6"/>
      <c r="J81" s="6"/>
      <c r="K81" s="6"/>
      <c r="L81" s="6"/>
      <c r="M81" s="6"/>
      <c r="N81" s="6"/>
      <c r="O81" s="6"/>
      <c r="P81" s="5"/>
      <c r="Q81" s="5"/>
      <c r="R81" s="5"/>
      <c r="S81" s="5"/>
      <c r="T81" s="5"/>
      <c r="U81" s="5"/>
      <c r="V81" s="5"/>
    </row>
    <row r="82" spans="1:22" x14ac:dyDescent="0.3"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5"/>
      <c r="V82" s="5"/>
    </row>
    <row r="83" spans="1:22" x14ac:dyDescent="0.3"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5"/>
      <c r="U83" s="5"/>
      <c r="V83" s="5"/>
    </row>
    <row r="84" spans="1:22" x14ac:dyDescent="0.3"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5"/>
      <c r="U84" s="5"/>
      <c r="V84" s="5"/>
    </row>
    <row r="85" spans="1:22" x14ac:dyDescent="0.3"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5"/>
      <c r="U85" s="5"/>
      <c r="V85" s="5"/>
    </row>
    <row r="86" spans="1:22" x14ac:dyDescent="0.3"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5"/>
      <c r="U86" s="5"/>
      <c r="V86" s="5"/>
    </row>
    <row r="87" spans="1:22" x14ac:dyDescent="0.3"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5"/>
      <c r="U87" s="5"/>
      <c r="V87" s="5"/>
    </row>
    <row r="88" spans="1:22" x14ac:dyDescent="0.3"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5"/>
      <c r="U88" s="5"/>
      <c r="V88" s="5"/>
    </row>
    <row r="89" spans="1:22" x14ac:dyDescent="0.3"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5"/>
      <c r="U89" s="5"/>
      <c r="V89" s="5"/>
    </row>
    <row r="90" spans="1:22" x14ac:dyDescent="0.3"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5"/>
      <c r="U90" s="5"/>
      <c r="V90" s="5"/>
    </row>
    <row r="91" spans="1:22" x14ac:dyDescent="0.3"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5"/>
      <c r="U91" s="5"/>
      <c r="V91" s="5"/>
    </row>
    <row r="92" spans="1:22" x14ac:dyDescent="0.3"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5"/>
      <c r="U92" s="5"/>
      <c r="V92" s="5"/>
    </row>
    <row r="93" spans="1:22" x14ac:dyDescent="0.3">
      <c r="A93" s="15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5"/>
      <c r="V93" s="5"/>
    </row>
    <row r="94" spans="1:22" x14ac:dyDescent="0.3">
      <c r="A94" s="15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5"/>
      <c r="U94" s="5"/>
      <c r="V94" s="5"/>
    </row>
    <row r="95" spans="1:22" x14ac:dyDescent="0.3">
      <c r="A95" s="15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5"/>
      <c r="U95" s="5"/>
      <c r="V95" s="5"/>
    </row>
    <row r="96" spans="1:22" x14ac:dyDescent="0.3">
      <c r="A96" s="15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5"/>
      <c r="U96" s="5"/>
      <c r="V96" s="5"/>
    </row>
    <row r="97" spans="1:43" x14ac:dyDescent="0.3">
      <c r="A97" s="15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5"/>
      <c r="V97" s="5"/>
    </row>
    <row r="98" spans="1:43" x14ac:dyDescent="0.3">
      <c r="A98" s="15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5"/>
      <c r="U98" s="5"/>
      <c r="V98" s="5"/>
    </row>
    <row r="99" spans="1:43" x14ac:dyDescent="0.3">
      <c r="A99" s="15"/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5"/>
      <c r="U99" s="5"/>
      <c r="V99" s="5"/>
    </row>
    <row r="100" spans="1:43" x14ac:dyDescent="0.3">
      <c r="A100" s="15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5"/>
      <c r="T100" s="5"/>
      <c r="U100" s="5"/>
      <c r="V100" s="5"/>
    </row>
    <row r="101" spans="1:43" x14ac:dyDescent="0.3">
      <c r="A101" s="15"/>
      <c r="I101" s="6"/>
      <c r="J101" s="6"/>
      <c r="K101" s="6"/>
      <c r="L101" s="6"/>
      <c r="M101" s="6"/>
      <c r="N101" s="6"/>
      <c r="O101" s="6"/>
      <c r="P101" s="5"/>
      <c r="Q101" s="5"/>
      <c r="R101" s="5"/>
      <c r="S101" s="5"/>
      <c r="T101" s="5"/>
      <c r="U101" s="5"/>
      <c r="V101" s="5"/>
    </row>
    <row r="102" spans="1:43" ht="13.5" thickBot="1" x14ac:dyDescent="0.35"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5"/>
      <c r="T102" s="5"/>
      <c r="U102" s="5"/>
      <c r="V102" s="5"/>
      <c r="AQ102" s="55"/>
    </row>
    <row r="103" spans="1:43" x14ac:dyDescent="0.3">
      <c r="A103" s="17"/>
      <c r="B103" s="18"/>
      <c r="C103" s="18"/>
      <c r="D103" s="18"/>
      <c r="E103" s="18"/>
      <c r="F103" s="18"/>
      <c r="G103" s="18"/>
      <c r="H103" s="18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20"/>
      <c r="V103" s="20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1"/>
    </row>
    <row r="104" spans="1:43" x14ac:dyDescent="0.3">
      <c r="A104" s="22"/>
      <c r="I104" s="6"/>
      <c r="J104" s="6"/>
      <c r="K104" s="6"/>
      <c r="L104" s="6"/>
      <c r="M104" s="6"/>
      <c r="N104" s="6"/>
      <c r="O104" s="6"/>
      <c r="P104" s="5"/>
      <c r="Q104" s="5"/>
      <c r="R104" s="5"/>
      <c r="S104" s="5"/>
      <c r="T104" s="5"/>
      <c r="U104" s="5"/>
      <c r="V104" s="5"/>
      <c r="AM104" s="23"/>
    </row>
    <row r="105" spans="1:43" x14ac:dyDescent="0.3">
      <c r="A105" s="22"/>
      <c r="AM105" s="23"/>
    </row>
    <row r="106" spans="1:43" ht="14.15" customHeight="1" x14ac:dyDescent="0.3">
      <c r="A106" s="22"/>
      <c r="AM106" s="23"/>
    </row>
    <row r="107" spans="1:43" x14ac:dyDescent="0.3">
      <c r="A107" s="22"/>
      <c r="AM107" s="23"/>
    </row>
    <row r="108" spans="1:43" ht="13.5" thickBot="1" x14ac:dyDescent="0.35">
      <c r="A108" s="28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30"/>
    </row>
    <row r="109" spans="1:43" ht="14.15" customHeight="1" x14ac:dyDescent="0.3">
      <c r="A109" s="584" t="s">
        <v>57</v>
      </c>
      <c r="B109" s="585"/>
      <c r="C109" s="585"/>
      <c r="D109" s="585"/>
      <c r="E109" s="585"/>
      <c r="F109" s="586"/>
      <c r="G109" s="587" t="s">
        <v>58</v>
      </c>
      <c r="H109" s="588"/>
      <c r="I109" s="588"/>
      <c r="J109" s="588"/>
      <c r="K109" s="588"/>
      <c r="L109" s="588"/>
      <c r="M109" s="588"/>
      <c r="N109" s="588"/>
      <c r="O109" s="588"/>
      <c r="P109" s="588"/>
      <c r="Q109" s="588"/>
      <c r="R109" s="588"/>
      <c r="S109" s="588"/>
      <c r="T109" s="588"/>
      <c r="U109" s="588"/>
      <c r="V109" s="588"/>
      <c r="W109" s="588"/>
      <c r="X109" s="588"/>
      <c r="Y109" s="588"/>
      <c r="Z109" s="588"/>
      <c r="AA109" s="588"/>
      <c r="AB109" s="588"/>
      <c r="AC109" s="588"/>
      <c r="AD109" s="588"/>
      <c r="AE109" s="588"/>
      <c r="AF109" s="588"/>
      <c r="AG109" s="588"/>
      <c r="AH109" s="588"/>
      <c r="AI109" s="588"/>
      <c r="AJ109" s="588"/>
      <c r="AK109" s="588"/>
      <c r="AL109" s="588"/>
      <c r="AM109" s="589"/>
      <c r="AN109" s="515"/>
      <c r="AO109" s="25"/>
      <c r="AP109" s="25"/>
    </row>
    <row r="110" spans="1:43" ht="14.15" customHeight="1" x14ac:dyDescent="0.3">
      <c r="A110" s="590" t="s">
        <v>59</v>
      </c>
      <c r="B110" s="591"/>
      <c r="C110" s="591"/>
      <c r="D110" s="591"/>
      <c r="E110" s="591"/>
      <c r="F110" s="592"/>
      <c r="G110" s="593" t="s">
        <v>60</v>
      </c>
      <c r="H110" s="594"/>
      <c r="I110" s="594"/>
      <c r="J110" s="594"/>
      <c r="K110" s="594"/>
      <c r="L110" s="594"/>
      <c r="M110" s="594"/>
      <c r="N110" s="594"/>
      <c r="O110" s="594"/>
      <c r="P110" s="594"/>
      <c r="Q110" s="594"/>
      <c r="R110" s="594"/>
      <c r="S110" s="594"/>
      <c r="T110" s="594"/>
      <c r="U110" s="594"/>
      <c r="V110" s="594"/>
      <c r="W110" s="594"/>
      <c r="X110" s="594"/>
      <c r="Y110" s="594"/>
      <c r="Z110" s="594"/>
      <c r="AA110" s="594"/>
      <c r="AB110" s="594"/>
      <c r="AC110" s="594"/>
      <c r="AD110" s="594"/>
      <c r="AE110" s="594"/>
      <c r="AF110" s="594"/>
      <c r="AG110" s="594"/>
      <c r="AH110" s="594"/>
      <c r="AI110" s="594"/>
      <c r="AJ110" s="594"/>
      <c r="AK110" s="594"/>
      <c r="AL110" s="594"/>
      <c r="AM110" s="595"/>
      <c r="AN110" s="515"/>
      <c r="AO110" s="25"/>
      <c r="AP110" s="25"/>
    </row>
    <row r="111" spans="1:43" ht="14.15" customHeight="1" x14ac:dyDescent="0.3">
      <c r="A111" s="590" t="s">
        <v>61</v>
      </c>
      <c r="B111" s="591"/>
      <c r="C111" s="591"/>
      <c r="D111" s="591"/>
      <c r="E111" s="591"/>
      <c r="F111" s="592"/>
      <c r="G111" s="593" t="s">
        <v>62</v>
      </c>
      <c r="H111" s="594"/>
      <c r="I111" s="594"/>
      <c r="J111" s="594"/>
      <c r="K111" s="594"/>
      <c r="L111" s="594"/>
      <c r="M111" s="594"/>
      <c r="N111" s="594"/>
      <c r="O111" s="594"/>
      <c r="P111" s="594"/>
      <c r="Q111" s="594"/>
      <c r="R111" s="594"/>
      <c r="S111" s="594"/>
      <c r="T111" s="594"/>
      <c r="U111" s="594"/>
      <c r="V111" s="594"/>
      <c r="W111" s="594"/>
      <c r="X111" s="594"/>
      <c r="Y111" s="594"/>
      <c r="Z111" s="594"/>
      <c r="AA111" s="594"/>
      <c r="AB111" s="594"/>
      <c r="AC111" s="594"/>
      <c r="AD111" s="594"/>
      <c r="AE111" s="594"/>
      <c r="AF111" s="594"/>
      <c r="AG111" s="594"/>
      <c r="AH111" s="594"/>
      <c r="AI111" s="594"/>
      <c r="AJ111" s="594"/>
      <c r="AK111" s="594"/>
      <c r="AL111" s="594"/>
      <c r="AM111" s="595"/>
      <c r="AN111" s="515"/>
      <c r="AO111" s="25"/>
      <c r="AP111" s="25"/>
    </row>
    <row r="112" spans="1:43" ht="14.15" customHeight="1" x14ac:dyDescent="0.3">
      <c r="A112" s="590" t="s">
        <v>63</v>
      </c>
      <c r="B112" s="591"/>
      <c r="C112" s="591"/>
      <c r="D112" s="591"/>
      <c r="E112" s="591"/>
      <c r="F112" s="592"/>
      <c r="G112" s="593" t="s">
        <v>64</v>
      </c>
      <c r="H112" s="594"/>
      <c r="I112" s="594"/>
      <c r="J112" s="594"/>
      <c r="K112" s="594"/>
      <c r="L112" s="594"/>
      <c r="M112" s="594"/>
      <c r="N112" s="594"/>
      <c r="O112" s="594"/>
      <c r="P112" s="594"/>
      <c r="Q112" s="594"/>
      <c r="R112" s="594"/>
      <c r="S112" s="594"/>
      <c r="T112" s="594"/>
      <c r="U112" s="594"/>
      <c r="V112" s="594"/>
      <c r="W112" s="594"/>
      <c r="X112" s="594"/>
      <c r="Y112" s="594"/>
      <c r="Z112" s="594"/>
      <c r="AA112" s="594"/>
      <c r="AB112" s="594"/>
      <c r="AC112" s="594"/>
      <c r="AD112" s="594"/>
      <c r="AE112" s="594"/>
      <c r="AF112" s="594"/>
      <c r="AG112" s="594"/>
      <c r="AH112" s="594"/>
      <c r="AI112" s="594"/>
      <c r="AJ112" s="594"/>
      <c r="AK112" s="594"/>
      <c r="AL112" s="594"/>
      <c r="AM112" s="595"/>
      <c r="AN112" s="515"/>
      <c r="AO112" s="25"/>
      <c r="AP112" s="25"/>
    </row>
    <row r="113" spans="1:54" ht="14.15" customHeight="1" thickBot="1" x14ac:dyDescent="0.35">
      <c r="A113" s="590" t="s">
        <v>65</v>
      </c>
      <c r="B113" s="591"/>
      <c r="C113" s="591"/>
      <c r="D113" s="591"/>
      <c r="E113" s="591"/>
      <c r="F113" s="592"/>
      <c r="G113" s="600" t="s">
        <v>66</v>
      </c>
      <c r="H113" s="601"/>
      <c r="I113" s="601"/>
      <c r="J113" s="601"/>
      <c r="K113" s="601"/>
      <c r="L113" s="601"/>
      <c r="M113" s="601"/>
      <c r="N113" s="601"/>
      <c r="O113" s="601"/>
      <c r="P113" s="601"/>
      <c r="Q113" s="601"/>
      <c r="R113" s="601"/>
      <c r="S113" s="601"/>
      <c r="T113" s="601"/>
      <c r="U113" s="601"/>
      <c r="V113" s="601"/>
      <c r="W113" s="601"/>
      <c r="X113" s="601"/>
      <c r="Y113" s="601"/>
      <c r="Z113" s="601"/>
      <c r="AA113" s="601"/>
      <c r="AB113" s="601"/>
      <c r="AC113" s="601"/>
      <c r="AD113" s="601"/>
      <c r="AE113" s="601"/>
      <c r="AF113" s="601"/>
      <c r="AG113" s="601"/>
      <c r="AH113" s="601"/>
      <c r="AI113" s="601"/>
      <c r="AJ113" s="601"/>
      <c r="AK113" s="601"/>
      <c r="AL113" s="601"/>
      <c r="AM113" s="602"/>
      <c r="AN113" s="515"/>
      <c r="AO113" s="25"/>
      <c r="AP113" s="25"/>
    </row>
    <row r="114" spans="1:54" s="10" customFormat="1" ht="28.5" customHeight="1" thickBot="1" x14ac:dyDescent="0.4">
      <c r="A114" s="73" t="s">
        <v>67</v>
      </c>
      <c r="B114" s="603" t="s">
        <v>68</v>
      </c>
      <c r="C114" s="603"/>
      <c r="D114" s="604" t="s">
        <v>69</v>
      </c>
      <c r="E114" s="605"/>
      <c r="F114" s="605"/>
      <c r="G114" s="605"/>
      <c r="H114" s="605"/>
      <c r="I114" s="605"/>
      <c r="J114" s="605"/>
      <c r="K114" s="605"/>
      <c r="L114" s="605"/>
      <c r="M114" s="605"/>
      <c r="N114" s="605"/>
      <c r="O114" s="605"/>
      <c r="P114" s="605"/>
      <c r="Q114" s="605"/>
      <c r="R114" s="605"/>
      <c r="S114" s="605"/>
      <c r="T114" s="605"/>
      <c r="U114" s="605"/>
      <c r="V114" s="605"/>
      <c r="W114" s="605"/>
      <c r="X114" s="605"/>
      <c r="Y114" s="605"/>
      <c r="Z114" s="605"/>
      <c r="AA114" s="605"/>
      <c r="AB114" s="605"/>
      <c r="AC114" s="605"/>
      <c r="AD114" s="605"/>
      <c r="AE114" s="605"/>
      <c r="AF114" s="605"/>
      <c r="AG114" s="605"/>
      <c r="AH114" s="605"/>
      <c r="AI114" s="605"/>
      <c r="AJ114" s="605"/>
      <c r="AK114" s="74" t="s">
        <v>70</v>
      </c>
      <c r="AL114" s="74" t="s">
        <v>71</v>
      </c>
      <c r="AM114" s="375" t="s">
        <v>72</v>
      </c>
      <c r="AN114" s="24" t="s">
        <v>73</v>
      </c>
      <c r="AO114" s="376" t="s">
        <v>74</v>
      </c>
      <c r="AP114" s="377" t="s">
        <v>75</v>
      </c>
      <c r="AQ114" s="114" t="s">
        <v>76</v>
      </c>
      <c r="AR114" s="114" t="s">
        <v>77</v>
      </c>
      <c r="AS114" s="114" t="s">
        <v>78</v>
      </c>
      <c r="AT114" s="114" t="s">
        <v>79</v>
      </c>
      <c r="AU114" s="114" t="s">
        <v>80</v>
      </c>
      <c r="AV114" s="114" t="s">
        <v>81</v>
      </c>
      <c r="AW114" s="114" t="s">
        <v>82</v>
      </c>
      <c r="AX114" s="114" t="s">
        <v>83</v>
      </c>
      <c r="AY114" s="114" t="s">
        <v>84</v>
      </c>
      <c r="AZ114" s="114" t="s">
        <v>85</v>
      </c>
      <c r="BA114" s="114" t="s">
        <v>86</v>
      </c>
      <c r="BB114" s="115" t="s">
        <v>87</v>
      </c>
    </row>
    <row r="115" spans="1:54" s="7" customFormat="1" ht="14.15" customHeight="1" x14ac:dyDescent="0.35">
      <c r="A115" s="230">
        <v>46082</v>
      </c>
      <c r="B115" s="655"/>
      <c r="C115" s="655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/>
      <c r="V115" s="656"/>
      <c r="W115" s="656"/>
      <c r="X115" s="656"/>
      <c r="Y115" s="656"/>
      <c r="Z115" s="656"/>
      <c r="AA115" s="656"/>
      <c r="AB115" s="656"/>
      <c r="AC115" s="656"/>
      <c r="AD115" s="656"/>
      <c r="AE115" s="656"/>
      <c r="AF115" s="656"/>
      <c r="AG115" s="656"/>
      <c r="AH115" s="656"/>
      <c r="AI115" s="656"/>
      <c r="AJ115" s="656"/>
      <c r="AK115" s="231"/>
      <c r="AL115" s="232"/>
      <c r="AM115" s="378"/>
      <c r="AN115" s="234"/>
      <c r="AO115" s="379">
        <f t="shared" ref="AO115:AO141" si="5">A115</f>
        <v>46082</v>
      </c>
      <c r="AP115" s="278" t="str">
        <f t="shared" ref="AP115:AP141" si="6">LEFT(D115,6)</f>
        <v/>
      </c>
      <c r="AQ115" s="235"/>
      <c r="AR115" s="236"/>
      <c r="AS115" s="236"/>
      <c r="AT115" s="237"/>
      <c r="AU115" s="236"/>
      <c r="AV115" s="237"/>
      <c r="AW115" s="236"/>
      <c r="AX115" s="237"/>
      <c r="AY115" s="236"/>
      <c r="AZ115" s="236"/>
      <c r="BA115" s="238"/>
      <c r="BB115" s="239"/>
    </row>
    <row r="116" spans="1:54" s="7" customFormat="1" ht="27" customHeight="1" x14ac:dyDescent="0.25">
      <c r="A116" s="171">
        <v>46083</v>
      </c>
      <c r="B116" s="598" t="s">
        <v>88</v>
      </c>
      <c r="C116" s="598"/>
      <c r="D116" s="599" t="s">
        <v>94</v>
      </c>
      <c r="E116" s="599"/>
      <c r="F116" s="599"/>
      <c r="G116" s="599"/>
      <c r="H116" s="599"/>
      <c r="I116" s="599"/>
      <c r="J116" s="599"/>
      <c r="K116" s="599"/>
      <c r="L116" s="599"/>
      <c r="M116" s="599"/>
      <c r="N116" s="599"/>
      <c r="O116" s="599"/>
      <c r="P116" s="599"/>
      <c r="Q116" s="599"/>
      <c r="R116" s="599"/>
      <c r="S116" s="599"/>
      <c r="T116" s="599"/>
      <c r="U116" s="599"/>
      <c r="V116" s="599"/>
      <c r="W116" s="599"/>
      <c r="X116" s="599"/>
      <c r="Y116" s="599"/>
      <c r="Z116" s="599"/>
      <c r="AA116" s="599"/>
      <c r="AB116" s="599"/>
      <c r="AC116" s="599"/>
      <c r="AD116" s="599"/>
      <c r="AE116" s="599"/>
      <c r="AF116" s="599"/>
      <c r="AG116" s="599"/>
      <c r="AH116" s="599"/>
      <c r="AI116" s="599"/>
      <c r="AJ116" s="599"/>
      <c r="AK116" s="172">
        <v>84.352272727272734</v>
      </c>
      <c r="AL116" s="173">
        <v>6</v>
      </c>
      <c r="AM116" s="380">
        <f>IF(AL116="CO", "CO", IF(COUNTIF(AO:AO, A116)=0, 0, (8-SUMIF(AO:AO, A116, AL:AL)) / COUNTIF(AO:AO, A116)))</f>
        <v>2</v>
      </c>
      <c r="AN116" s="175" t="s">
        <v>162</v>
      </c>
      <c r="AO116" s="381">
        <f t="shared" si="5"/>
        <v>46083</v>
      </c>
      <c r="AP116" s="279" t="str">
        <f t="shared" si="6"/>
        <v>SA3.5.</v>
      </c>
      <c r="AQ116" s="178" t="s">
        <v>91</v>
      </c>
      <c r="AR116" s="179"/>
      <c r="AS116" s="251" t="s">
        <v>127</v>
      </c>
      <c r="AT116" s="227"/>
      <c r="AU116" s="179"/>
      <c r="AV116" s="391" t="s">
        <v>162</v>
      </c>
      <c r="AW116" s="179"/>
      <c r="AX116" s="102"/>
      <c r="AY116" s="179"/>
      <c r="AZ116" s="103"/>
      <c r="BA116" s="181"/>
      <c r="BB116" s="182"/>
    </row>
    <row r="117" spans="1:54" s="7" customFormat="1" ht="27" customHeight="1" x14ac:dyDescent="0.35">
      <c r="A117" s="171">
        <v>46084</v>
      </c>
      <c r="B117" s="598" t="s">
        <v>88</v>
      </c>
      <c r="C117" s="598"/>
      <c r="D117" s="599" t="s">
        <v>89</v>
      </c>
      <c r="E117" s="599"/>
      <c r="F117" s="599"/>
      <c r="G117" s="599"/>
      <c r="H117" s="599"/>
      <c r="I117" s="599"/>
      <c r="J117" s="599"/>
      <c r="K117" s="599"/>
      <c r="L117" s="599"/>
      <c r="M117" s="599"/>
      <c r="N117" s="599"/>
      <c r="O117" s="599"/>
      <c r="P117" s="599"/>
      <c r="Q117" s="599"/>
      <c r="R117" s="599"/>
      <c r="S117" s="599"/>
      <c r="T117" s="599"/>
      <c r="U117" s="599"/>
      <c r="V117" s="599"/>
      <c r="W117" s="599"/>
      <c r="X117" s="599"/>
      <c r="Y117" s="599"/>
      <c r="Z117" s="599"/>
      <c r="AA117" s="599"/>
      <c r="AB117" s="599"/>
      <c r="AC117" s="599"/>
      <c r="AD117" s="599"/>
      <c r="AE117" s="599"/>
      <c r="AF117" s="599"/>
      <c r="AG117" s="599"/>
      <c r="AH117" s="599"/>
      <c r="AI117" s="599"/>
      <c r="AJ117" s="599"/>
      <c r="AK117" s="172">
        <v>84.352272727272734</v>
      </c>
      <c r="AL117" s="173">
        <v>6</v>
      </c>
      <c r="AM117" s="380">
        <f>IF(AL117="CO", "CO", IF(COUNTIF(AO:AO, A117)=0, 0, (8-SUMIF(AO:AO, A117, AL:AL)) / COUNTIF(AO:AO, A117)))</f>
        <v>2</v>
      </c>
      <c r="AN117" s="175" t="s">
        <v>163</v>
      </c>
      <c r="AO117" s="381">
        <f t="shared" si="5"/>
        <v>46084</v>
      </c>
      <c r="AP117" s="279" t="str">
        <f t="shared" si="6"/>
        <v>SA3.4.</v>
      </c>
      <c r="AQ117" s="178" t="s">
        <v>91</v>
      </c>
      <c r="AR117" s="179"/>
      <c r="AS117" s="342" t="s">
        <v>125</v>
      </c>
      <c r="AT117" s="180"/>
      <c r="AU117" s="179"/>
      <c r="AV117" s="180"/>
      <c r="AW117" s="179"/>
      <c r="AX117" s="102"/>
      <c r="AY117" s="179"/>
      <c r="AZ117" s="228"/>
      <c r="BA117" s="242" t="s">
        <v>164</v>
      </c>
      <c r="BB117" s="182"/>
    </row>
    <row r="118" spans="1:54" s="7" customFormat="1" ht="27" customHeight="1" x14ac:dyDescent="0.35">
      <c r="A118" s="171">
        <v>46085</v>
      </c>
      <c r="B118" s="598" t="s">
        <v>88</v>
      </c>
      <c r="C118" s="598"/>
      <c r="D118" s="599" t="s">
        <v>89</v>
      </c>
      <c r="E118" s="599"/>
      <c r="F118" s="599"/>
      <c r="G118" s="599"/>
      <c r="H118" s="599"/>
      <c r="I118" s="599"/>
      <c r="J118" s="599"/>
      <c r="K118" s="599"/>
      <c r="L118" s="599"/>
      <c r="M118" s="599"/>
      <c r="N118" s="599"/>
      <c r="O118" s="599"/>
      <c r="P118" s="599"/>
      <c r="Q118" s="599"/>
      <c r="R118" s="599"/>
      <c r="S118" s="599"/>
      <c r="T118" s="599"/>
      <c r="U118" s="599"/>
      <c r="V118" s="599"/>
      <c r="W118" s="599"/>
      <c r="X118" s="599"/>
      <c r="Y118" s="599"/>
      <c r="Z118" s="599"/>
      <c r="AA118" s="599"/>
      <c r="AB118" s="599"/>
      <c r="AC118" s="599"/>
      <c r="AD118" s="599"/>
      <c r="AE118" s="599"/>
      <c r="AF118" s="599"/>
      <c r="AG118" s="599"/>
      <c r="AH118" s="599"/>
      <c r="AI118" s="599"/>
      <c r="AJ118" s="599"/>
      <c r="AK118" s="172">
        <v>84.352272727272734</v>
      </c>
      <c r="AL118" s="173">
        <v>6</v>
      </c>
      <c r="AM118" s="380">
        <f>IF(AL118="CO", "CO", IF(COUNTIF(AO:AO, A118)=0, 0, (8-SUMIF(AO:AO, A118, AL:AL)) / COUNTIF(AO:AO, A118)))</f>
        <v>2</v>
      </c>
      <c r="AN118" s="175" t="s">
        <v>163</v>
      </c>
      <c r="AO118" s="381">
        <f t="shared" si="5"/>
        <v>46085</v>
      </c>
      <c r="AP118" s="279" t="str">
        <f t="shared" si="6"/>
        <v>SA3.4.</v>
      </c>
      <c r="AQ118" s="178" t="s">
        <v>91</v>
      </c>
      <c r="AR118" s="183"/>
      <c r="AS118" s="342" t="s">
        <v>125</v>
      </c>
      <c r="AT118" s="180"/>
      <c r="AU118" s="179"/>
      <c r="AV118" s="180"/>
      <c r="AW118" s="179"/>
      <c r="AX118" s="103"/>
      <c r="AY118" s="179"/>
      <c r="AZ118" s="103"/>
      <c r="BA118" s="181"/>
      <c r="BB118" s="182"/>
    </row>
    <row r="119" spans="1:54" s="7" customFormat="1" ht="27" customHeight="1" x14ac:dyDescent="0.35">
      <c r="A119" s="171">
        <v>46086</v>
      </c>
      <c r="B119" s="598" t="s">
        <v>88</v>
      </c>
      <c r="C119" s="598"/>
      <c r="D119" s="599" t="s">
        <v>89</v>
      </c>
      <c r="E119" s="599"/>
      <c r="F119" s="599"/>
      <c r="G119" s="599"/>
      <c r="H119" s="599"/>
      <c r="I119" s="599"/>
      <c r="J119" s="599"/>
      <c r="K119" s="599"/>
      <c r="L119" s="599"/>
      <c r="M119" s="599"/>
      <c r="N119" s="599"/>
      <c r="O119" s="599"/>
      <c r="P119" s="599"/>
      <c r="Q119" s="599"/>
      <c r="R119" s="599"/>
      <c r="S119" s="599"/>
      <c r="T119" s="599"/>
      <c r="U119" s="599"/>
      <c r="V119" s="599"/>
      <c r="W119" s="599"/>
      <c r="X119" s="599"/>
      <c r="Y119" s="599"/>
      <c r="Z119" s="599"/>
      <c r="AA119" s="599"/>
      <c r="AB119" s="599"/>
      <c r="AC119" s="599"/>
      <c r="AD119" s="599"/>
      <c r="AE119" s="599"/>
      <c r="AF119" s="599"/>
      <c r="AG119" s="599"/>
      <c r="AH119" s="599"/>
      <c r="AI119" s="599"/>
      <c r="AJ119" s="599"/>
      <c r="AK119" s="172">
        <v>84.352272727272734</v>
      </c>
      <c r="AL119" s="173">
        <v>6</v>
      </c>
      <c r="AM119" s="380">
        <f>IF(AL119="CO", "CO", IF(COUNTIF(AO:AO, A119)=0, 0, (8-SUMIF(AO:AO, A119, AL:AL)) / COUNTIF(AO:AO, A119)))</f>
        <v>2</v>
      </c>
      <c r="AN119" s="175" t="s">
        <v>163</v>
      </c>
      <c r="AO119" s="381">
        <f t="shared" si="5"/>
        <v>46086</v>
      </c>
      <c r="AP119" s="279" t="str">
        <f t="shared" si="6"/>
        <v>SA3.4.</v>
      </c>
      <c r="AQ119" s="178" t="s">
        <v>91</v>
      </c>
      <c r="AR119" s="183"/>
      <c r="AS119" s="342" t="s">
        <v>125</v>
      </c>
      <c r="AT119" s="71"/>
      <c r="AU119" s="179"/>
      <c r="AV119" s="382"/>
      <c r="AW119" s="179"/>
      <c r="AX119" s="103"/>
      <c r="AY119" s="179"/>
      <c r="AZ119" s="103"/>
      <c r="BA119" s="181"/>
      <c r="BB119" s="182"/>
    </row>
    <row r="120" spans="1:54" s="7" customFormat="1" ht="27" customHeight="1" x14ac:dyDescent="0.35">
      <c r="A120" s="171">
        <v>46087</v>
      </c>
      <c r="B120" s="598" t="s">
        <v>88</v>
      </c>
      <c r="C120" s="598"/>
      <c r="D120" s="599" t="s">
        <v>89</v>
      </c>
      <c r="E120" s="599"/>
      <c r="F120" s="599"/>
      <c r="G120" s="599"/>
      <c r="H120" s="599"/>
      <c r="I120" s="599"/>
      <c r="J120" s="599"/>
      <c r="K120" s="599"/>
      <c r="L120" s="599"/>
      <c r="M120" s="599"/>
      <c r="N120" s="599"/>
      <c r="O120" s="599"/>
      <c r="P120" s="599"/>
      <c r="Q120" s="599"/>
      <c r="R120" s="599"/>
      <c r="S120" s="599"/>
      <c r="T120" s="599"/>
      <c r="U120" s="599"/>
      <c r="V120" s="599"/>
      <c r="W120" s="599"/>
      <c r="X120" s="599"/>
      <c r="Y120" s="599"/>
      <c r="Z120" s="599"/>
      <c r="AA120" s="599"/>
      <c r="AB120" s="599"/>
      <c r="AC120" s="599"/>
      <c r="AD120" s="599"/>
      <c r="AE120" s="599"/>
      <c r="AF120" s="599"/>
      <c r="AG120" s="599"/>
      <c r="AH120" s="599"/>
      <c r="AI120" s="599"/>
      <c r="AJ120" s="599"/>
      <c r="AK120" s="172">
        <v>84.352272727272734</v>
      </c>
      <c r="AL120" s="173">
        <v>6</v>
      </c>
      <c r="AM120" s="380">
        <f>IF(AL120="CO", "CO", IF(COUNTIF(AO:AO, A120)=0, 0, (8-SUMIF(AO:AO, A120, AL:AL)) / COUNTIF(AO:AO, A120)))</f>
        <v>2</v>
      </c>
      <c r="AN120" s="110" t="s">
        <v>165</v>
      </c>
      <c r="AO120" s="381">
        <f t="shared" si="5"/>
        <v>46087</v>
      </c>
      <c r="AP120" s="279" t="str">
        <f t="shared" si="6"/>
        <v>SA3.4.</v>
      </c>
      <c r="AQ120" s="178" t="s">
        <v>99</v>
      </c>
      <c r="AR120" s="183" t="s">
        <v>166</v>
      </c>
      <c r="AS120" s="342" t="s">
        <v>125</v>
      </c>
      <c r="AT120" s="382"/>
      <c r="AU120" s="179"/>
      <c r="AV120" s="382"/>
      <c r="AW120" s="179"/>
      <c r="AX120" s="180"/>
      <c r="AY120" s="179"/>
      <c r="AZ120" s="181"/>
      <c r="BA120" s="181"/>
      <c r="BB120" s="182"/>
    </row>
    <row r="121" spans="1:54" s="7" customFormat="1" ht="14.15" customHeight="1" x14ac:dyDescent="0.35">
      <c r="A121" s="76">
        <v>46088</v>
      </c>
      <c r="B121" s="596"/>
      <c r="C121" s="596"/>
      <c r="D121" s="597"/>
      <c r="E121" s="597"/>
      <c r="F121" s="597"/>
      <c r="G121" s="597"/>
      <c r="H121" s="597"/>
      <c r="I121" s="597"/>
      <c r="J121" s="597"/>
      <c r="K121" s="597"/>
      <c r="L121" s="597"/>
      <c r="M121" s="597"/>
      <c r="N121" s="597"/>
      <c r="O121" s="597"/>
      <c r="P121" s="597"/>
      <c r="Q121" s="597"/>
      <c r="R121" s="597"/>
      <c r="S121" s="597"/>
      <c r="T121" s="597"/>
      <c r="U121" s="597"/>
      <c r="V121" s="597"/>
      <c r="W121" s="597"/>
      <c r="X121" s="597"/>
      <c r="Y121" s="597"/>
      <c r="Z121" s="597"/>
      <c r="AA121" s="597"/>
      <c r="AB121" s="597"/>
      <c r="AC121" s="597"/>
      <c r="AD121" s="597"/>
      <c r="AE121" s="597"/>
      <c r="AF121" s="597"/>
      <c r="AG121" s="597"/>
      <c r="AH121" s="597"/>
      <c r="AI121" s="597"/>
      <c r="AJ121" s="597"/>
      <c r="AK121" s="134"/>
      <c r="AL121" s="135"/>
      <c r="AM121" s="383"/>
      <c r="AN121" s="350"/>
      <c r="AO121" s="384">
        <f t="shared" si="5"/>
        <v>46088</v>
      </c>
      <c r="AP121" s="280" t="str">
        <f t="shared" si="6"/>
        <v/>
      </c>
      <c r="AQ121" s="104"/>
      <c r="AR121" s="105"/>
      <c r="AS121" s="105"/>
      <c r="AT121" s="108"/>
      <c r="AU121" s="105"/>
      <c r="AV121" s="117"/>
      <c r="AW121" s="105"/>
      <c r="AX121" s="107"/>
      <c r="AY121" s="105"/>
      <c r="AZ121" s="105"/>
      <c r="BA121" s="113"/>
      <c r="BB121" s="140"/>
    </row>
    <row r="122" spans="1:54" s="7" customFormat="1" ht="14.15" customHeight="1" x14ac:dyDescent="0.35">
      <c r="A122" s="76">
        <v>46089</v>
      </c>
      <c r="B122" s="596"/>
      <c r="C122" s="596"/>
      <c r="D122" s="597"/>
      <c r="E122" s="597"/>
      <c r="F122" s="597"/>
      <c r="G122" s="597"/>
      <c r="H122" s="597"/>
      <c r="I122" s="597"/>
      <c r="J122" s="597"/>
      <c r="K122" s="597"/>
      <c r="L122" s="597"/>
      <c r="M122" s="597"/>
      <c r="N122" s="597"/>
      <c r="O122" s="597"/>
      <c r="P122" s="597"/>
      <c r="Q122" s="597"/>
      <c r="R122" s="597"/>
      <c r="S122" s="597"/>
      <c r="T122" s="597"/>
      <c r="U122" s="597"/>
      <c r="V122" s="597"/>
      <c r="W122" s="597"/>
      <c r="X122" s="597"/>
      <c r="Y122" s="597"/>
      <c r="Z122" s="597"/>
      <c r="AA122" s="597"/>
      <c r="AB122" s="597"/>
      <c r="AC122" s="597"/>
      <c r="AD122" s="597"/>
      <c r="AE122" s="597"/>
      <c r="AF122" s="597"/>
      <c r="AG122" s="597"/>
      <c r="AH122" s="597"/>
      <c r="AI122" s="597"/>
      <c r="AJ122" s="597"/>
      <c r="AK122" s="134"/>
      <c r="AL122" s="135"/>
      <c r="AM122" s="383"/>
      <c r="AN122" s="175"/>
      <c r="AO122" s="384">
        <f t="shared" si="5"/>
        <v>46089</v>
      </c>
      <c r="AP122" s="280" t="str">
        <f t="shared" si="6"/>
        <v/>
      </c>
      <c r="AQ122" s="104"/>
      <c r="AR122" s="105"/>
      <c r="AS122" s="105"/>
      <c r="AT122" s="108"/>
      <c r="AU122" s="105"/>
      <c r="AV122" s="108"/>
      <c r="AW122" s="105"/>
      <c r="AX122" s="107"/>
      <c r="AY122" s="105"/>
      <c r="AZ122" s="105"/>
      <c r="BA122" s="113"/>
      <c r="BB122" s="140"/>
    </row>
    <row r="123" spans="1:54" s="7" customFormat="1" ht="27" customHeight="1" x14ac:dyDescent="0.35">
      <c r="A123" s="171">
        <v>46090</v>
      </c>
      <c r="B123" s="598" t="s">
        <v>88</v>
      </c>
      <c r="C123" s="598"/>
      <c r="D123" s="599" t="s">
        <v>89</v>
      </c>
      <c r="E123" s="599"/>
      <c r="F123" s="599"/>
      <c r="G123" s="599"/>
      <c r="H123" s="599"/>
      <c r="I123" s="599"/>
      <c r="J123" s="599"/>
      <c r="K123" s="599"/>
      <c r="L123" s="599"/>
      <c r="M123" s="599"/>
      <c r="N123" s="599"/>
      <c r="O123" s="599"/>
      <c r="P123" s="599"/>
      <c r="Q123" s="599"/>
      <c r="R123" s="599"/>
      <c r="S123" s="599"/>
      <c r="T123" s="599"/>
      <c r="U123" s="599"/>
      <c r="V123" s="599"/>
      <c r="W123" s="599"/>
      <c r="X123" s="599"/>
      <c r="Y123" s="599"/>
      <c r="Z123" s="599"/>
      <c r="AA123" s="599"/>
      <c r="AB123" s="599"/>
      <c r="AC123" s="599"/>
      <c r="AD123" s="599"/>
      <c r="AE123" s="599"/>
      <c r="AF123" s="599"/>
      <c r="AG123" s="599"/>
      <c r="AH123" s="599"/>
      <c r="AI123" s="599"/>
      <c r="AJ123" s="599"/>
      <c r="AK123" s="172">
        <v>84.352272727272734</v>
      </c>
      <c r="AL123" s="173">
        <v>6</v>
      </c>
      <c r="AM123" s="385">
        <f>IF(AL123="CO", "CO", IF(COUNTIF(AO:AO, A123)=0, 0, (8-SUMIF(AO:AO, A123, AL:AL)) / COUNTIF(AO:AO, A123)))</f>
        <v>2</v>
      </c>
      <c r="AN123" s="343" t="s">
        <v>167</v>
      </c>
      <c r="AO123" s="381">
        <f t="shared" si="5"/>
        <v>46090</v>
      </c>
      <c r="AP123" s="279" t="str">
        <f t="shared" si="6"/>
        <v>SA3.4.</v>
      </c>
      <c r="AQ123" s="178"/>
      <c r="AR123" s="179"/>
      <c r="AS123" s="342" t="s">
        <v>125</v>
      </c>
      <c r="AT123" s="102"/>
      <c r="AU123" s="179"/>
      <c r="AV123" s="382"/>
      <c r="AW123" s="179"/>
      <c r="AX123" s="102"/>
      <c r="AY123" s="179"/>
      <c r="AZ123" s="179"/>
      <c r="BA123" s="242" t="s">
        <v>168</v>
      </c>
      <c r="BB123" s="182"/>
    </row>
    <row r="124" spans="1:54" s="7" customFormat="1" ht="27" customHeight="1" x14ac:dyDescent="0.35">
      <c r="A124" s="171">
        <v>46091</v>
      </c>
      <c r="B124" s="598" t="s">
        <v>88</v>
      </c>
      <c r="C124" s="598"/>
      <c r="D124" s="599" t="s">
        <v>89</v>
      </c>
      <c r="E124" s="599"/>
      <c r="F124" s="599"/>
      <c r="G124" s="599"/>
      <c r="H124" s="599"/>
      <c r="I124" s="599"/>
      <c r="J124" s="599"/>
      <c r="K124" s="599"/>
      <c r="L124" s="599"/>
      <c r="M124" s="599"/>
      <c r="N124" s="599"/>
      <c r="O124" s="599"/>
      <c r="P124" s="599"/>
      <c r="Q124" s="599"/>
      <c r="R124" s="599"/>
      <c r="S124" s="599"/>
      <c r="T124" s="599"/>
      <c r="U124" s="599"/>
      <c r="V124" s="599"/>
      <c r="W124" s="599"/>
      <c r="X124" s="599"/>
      <c r="Y124" s="599"/>
      <c r="Z124" s="599"/>
      <c r="AA124" s="599"/>
      <c r="AB124" s="599"/>
      <c r="AC124" s="599"/>
      <c r="AD124" s="599"/>
      <c r="AE124" s="599"/>
      <c r="AF124" s="599"/>
      <c r="AG124" s="599"/>
      <c r="AH124" s="599"/>
      <c r="AI124" s="599"/>
      <c r="AJ124" s="599"/>
      <c r="AK124" s="172">
        <v>84.352272727272734</v>
      </c>
      <c r="AL124" s="173">
        <v>6</v>
      </c>
      <c r="AM124" s="385">
        <f>IF(AL124="CO", "CO", IF(COUNTIF(AO:AO, A124)=0, 0, (8-SUMIF(AO:AO, A124, AL:AL)) / COUNTIF(AO:AO, A124)))</f>
        <v>2</v>
      </c>
      <c r="AN124" s="343" t="s">
        <v>167</v>
      </c>
      <c r="AO124" s="381">
        <f t="shared" si="5"/>
        <v>46091</v>
      </c>
      <c r="AP124" s="279" t="str">
        <f t="shared" si="6"/>
        <v>SA3.4.</v>
      </c>
      <c r="AQ124" s="178"/>
      <c r="AR124" s="179"/>
      <c r="AS124" s="342" t="s">
        <v>125</v>
      </c>
      <c r="AT124" s="180"/>
      <c r="AU124" s="179"/>
      <c r="AV124" s="102"/>
      <c r="AW124" s="179"/>
      <c r="AX124" s="102"/>
      <c r="AY124" s="179"/>
      <c r="AZ124" s="179"/>
      <c r="BA124" s="181"/>
      <c r="BB124" s="182"/>
    </row>
    <row r="125" spans="1:54" s="7" customFormat="1" ht="27" customHeight="1" x14ac:dyDescent="0.35">
      <c r="A125" s="171">
        <v>46092</v>
      </c>
      <c r="B125" s="598" t="s">
        <v>88</v>
      </c>
      <c r="C125" s="598"/>
      <c r="D125" s="599" t="s">
        <v>89</v>
      </c>
      <c r="E125" s="599"/>
      <c r="F125" s="599"/>
      <c r="G125" s="599"/>
      <c r="H125" s="599"/>
      <c r="I125" s="599"/>
      <c r="J125" s="599"/>
      <c r="K125" s="599"/>
      <c r="L125" s="599"/>
      <c r="M125" s="599"/>
      <c r="N125" s="599"/>
      <c r="O125" s="599"/>
      <c r="P125" s="599"/>
      <c r="Q125" s="599"/>
      <c r="R125" s="599"/>
      <c r="S125" s="599"/>
      <c r="T125" s="599"/>
      <c r="U125" s="599"/>
      <c r="V125" s="599"/>
      <c r="W125" s="599"/>
      <c r="X125" s="599"/>
      <c r="Y125" s="599"/>
      <c r="Z125" s="599"/>
      <c r="AA125" s="599"/>
      <c r="AB125" s="599"/>
      <c r="AC125" s="599"/>
      <c r="AD125" s="599"/>
      <c r="AE125" s="599"/>
      <c r="AF125" s="599"/>
      <c r="AG125" s="599"/>
      <c r="AH125" s="599"/>
      <c r="AI125" s="599"/>
      <c r="AJ125" s="599"/>
      <c r="AK125" s="172">
        <v>84.352272727272734</v>
      </c>
      <c r="AL125" s="173">
        <v>6</v>
      </c>
      <c r="AM125" s="385">
        <f>IF(AL125="CO", "CO", IF(COUNTIF(AO:AO, A125)=0, 0, (8-SUMIF(AO:AO, A125, AL:AL)) / COUNTIF(AO:AO, A125)))</f>
        <v>2</v>
      </c>
      <c r="AN125" s="343" t="s">
        <v>167</v>
      </c>
      <c r="AO125" s="381">
        <f t="shared" si="5"/>
        <v>46092</v>
      </c>
      <c r="AP125" s="279" t="str">
        <f t="shared" si="6"/>
        <v>SA3.4.</v>
      </c>
      <c r="AQ125" s="178"/>
      <c r="AR125" s="179"/>
      <c r="AS125" s="342" t="s">
        <v>125</v>
      </c>
      <c r="AT125" s="180"/>
      <c r="AU125" s="179"/>
      <c r="AV125" s="102"/>
      <c r="AW125" s="179"/>
      <c r="AX125" s="102"/>
      <c r="AY125" s="179"/>
      <c r="AZ125" s="179"/>
      <c r="BA125" s="181"/>
      <c r="BB125" s="182"/>
    </row>
    <row r="126" spans="1:54" s="7" customFormat="1" ht="27" customHeight="1" x14ac:dyDescent="0.35">
      <c r="A126" s="171">
        <v>46093</v>
      </c>
      <c r="B126" s="598" t="s">
        <v>88</v>
      </c>
      <c r="C126" s="598"/>
      <c r="D126" s="599" t="s">
        <v>89</v>
      </c>
      <c r="E126" s="599"/>
      <c r="F126" s="599"/>
      <c r="G126" s="599"/>
      <c r="H126" s="599"/>
      <c r="I126" s="599"/>
      <c r="J126" s="599"/>
      <c r="K126" s="599"/>
      <c r="L126" s="599"/>
      <c r="M126" s="599"/>
      <c r="N126" s="599"/>
      <c r="O126" s="599"/>
      <c r="P126" s="599"/>
      <c r="Q126" s="599"/>
      <c r="R126" s="599"/>
      <c r="S126" s="599"/>
      <c r="T126" s="599"/>
      <c r="U126" s="599"/>
      <c r="V126" s="599"/>
      <c r="W126" s="599"/>
      <c r="X126" s="599"/>
      <c r="Y126" s="599"/>
      <c r="Z126" s="599"/>
      <c r="AA126" s="599"/>
      <c r="AB126" s="599"/>
      <c r="AC126" s="599"/>
      <c r="AD126" s="599"/>
      <c r="AE126" s="599"/>
      <c r="AF126" s="599"/>
      <c r="AG126" s="599"/>
      <c r="AH126" s="599"/>
      <c r="AI126" s="599"/>
      <c r="AJ126" s="599"/>
      <c r="AK126" s="172">
        <v>84.352272727272734</v>
      </c>
      <c r="AL126" s="173">
        <v>6</v>
      </c>
      <c r="AM126" s="385">
        <f>IF(AL126="CO", "CO", IF(COUNTIF(AO:AO, A126)=0, 0, (8-SUMIF(AO:AO, A126, AL:AL)) / COUNTIF(AO:AO, A126)))</f>
        <v>2</v>
      </c>
      <c r="AN126" s="110" t="s">
        <v>165</v>
      </c>
      <c r="AO126" s="381">
        <f t="shared" si="5"/>
        <v>46093</v>
      </c>
      <c r="AP126" s="279" t="str">
        <f t="shared" si="6"/>
        <v>SA3.4.</v>
      </c>
      <c r="AQ126" s="178" t="s">
        <v>99</v>
      </c>
      <c r="AR126" s="183" t="s">
        <v>166</v>
      </c>
      <c r="AS126" s="342" t="s">
        <v>125</v>
      </c>
      <c r="AT126" s="180"/>
      <c r="AU126" s="179"/>
      <c r="AV126" s="180"/>
      <c r="AW126" s="179"/>
      <c r="AX126" s="102"/>
      <c r="AY126" s="179"/>
      <c r="AZ126" s="179"/>
      <c r="BA126" s="181"/>
      <c r="BB126" s="182"/>
    </row>
    <row r="127" spans="1:54" s="7" customFormat="1" ht="27" customHeight="1" x14ac:dyDescent="0.35">
      <c r="A127" s="171">
        <v>46094</v>
      </c>
      <c r="B127" s="598" t="s">
        <v>88</v>
      </c>
      <c r="C127" s="598"/>
      <c r="D127" s="599" t="s">
        <v>89</v>
      </c>
      <c r="E127" s="599"/>
      <c r="F127" s="599"/>
      <c r="G127" s="599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599"/>
      <c r="AB127" s="599"/>
      <c r="AC127" s="599"/>
      <c r="AD127" s="599"/>
      <c r="AE127" s="599"/>
      <c r="AF127" s="599"/>
      <c r="AG127" s="599"/>
      <c r="AH127" s="599"/>
      <c r="AI127" s="599"/>
      <c r="AJ127" s="599"/>
      <c r="AK127" s="172">
        <v>84.352272727272734</v>
      </c>
      <c r="AL127" s="173">
        <v>6</v>
      </c>
      <c r="AM127" s="385">
        <f>IF(AL127="CO", "CO", IF(COUNTIF(AO:AO, A127)=0, 0, (8-SUMIF(AO:AO, A127, AL:AL)) / COUNTIF(AO:AO, A127)))</f>
        <v>2</v>
      </c>
      <c r="AN127" s="110" t="s">
        <v>165</v>
      </c>
      <c r="AO127" s="381">
        <f t="shared" si="5"/>
        <v>46094</v>
      </c>
      <c r="AP127" s="279" t="str">
        <f t="shared" si="6"/>
        <v>SA3.4.</v>
      </c>
      <c r="AQ127" s="178" t="s">
        <v>99</v>
      </c>
      <c r="AR127" s="183" t="s">
        <v>166</v>
      </c>
      <c r="AS127" s="251" t="s">
        <v>127</v>
      </c>
      <c r="AT127" s="180"/>
      <c r="AU127" s="179"/>
      <c r="AV127" s="307" t="s">
        <v>169</v>
      </c>
      <c r="AW127" s="179"/>
      <c r="AX127" s="102"/>
      <c r="AY127" s="179"/>
      <c r="AZ127" s="179"/>
      <c r="BA127" s="181"/>
      <c r="BB127" s="182"/>
    </row>
    <row r="128" spans="1:54" s="7" customFormat="1" ht="14.15" customHeight="1" x14ac:dyDescent="0.35">
      <c r="A128" s="76">
        <v>46095</v>
      </c>
      <c r="B128" s="596"/>
      <c r="C128" s="596"/>
      <c r="D128" s="597"/>
      <c r="E128" s="597"/>
      <c r="F128" s="597"/>
      <c r="G128" s="597"/>
      <c r="H128" s="597"/>
      <c r="I128" s="597"/>
      <c r="J128" s="597"/>
      <c r="K128" s="597"/>
      <c r="L128" s="597"/>
      <c r="M128" s="597"/>
      <c r="N128" s="597"/>
      <c r="O128" s="597"/>
      <c r="P128" s="597"/>
      <c r="Q128" s="597"/>
      <c r="R128" s="597"/>
      <c r="S128" s="597"/>
      <c r="T128" s="597"/>
      <c r="U128" s="597"/>
      <c r="V128" s="597"/>
      <c r="W128" s="597"/>
      <c r="X128" s="597"/>
      <c r="Y128" s="597"/>
      <c r="Z128" s="597"/>
      <c r="AA128" s="597"/>
      <c r="AB128" s="597"/>
      <c r="AC128" s="597"/>
      <c r="AD128" s="597"/>
      <c r="AE128" s="597"/>
      <c r="AF128" s="597"/>
      <c r="AG128" s="597"/>
      <c r="AH128" s="597"/>
      <c r="AI128" s="597"/>
      <c r="AJ128" s="597"/>
      <c r="AK128" s="134"/>
      <c r="AL128" s="135"/>
      <c r="AM128" s="386"/>
      <c r="AN128" s="175"/>
      <c r="AO128" s="384">
        <f t="shared" si="5"/>
        <v>46095</v>
      </c>
      <c r="AP128" s="280" t="str">
        <f t="shared" si="6"/>
        <v/>
      </c>
      <c r="AQ128" s="104"/>
      <c r="AR128" s="105"/>
      <c r="AS128" s="105"/>
      <c r="AT128" s="108"/>
      <c r="AU128" s="105"/>
      <c r="AV128" s="305"/>
      <c r="AW128" s="105"/>
      <c r="AX128" s="107"/>
      <c r="AY128" s="105"/>
      <c r="AZ128" s="105"/>
      <c r="BA128" s="113"/>
      <c r="BB128" s="140"/>
    </row>
    <row r="129" spans="1:54" s="7" customFormat="1" ht="14.15" customHeight="1" x14ac:dyDescent="0.35">
      <c r="A129" s="76">
        <v>46096</v>
      </c>
      <c r="B129" s="596"/>
      <c r="C129" s="596"/>
      <c r="D129" s="597"/>
      <c r="E129" s="597"/>
      <c r="F129" s="597"/>
      <c r="G129" s="597"/>
      <c r="H129" s="597"/>
      <c r="I129" s="597"/>
      <c r="J129" s="597"/>
      <c r="K129" s="597"/>
      <c r="L129" s="597"/>
      <c r="M129" s="597"/>
      <c r="N129" s="597"/>
      <c r="O129" s="597"/>
      <c r="P129" s="597"/>
      <c r="Q129" s="597"/>
      <c r="R129" s="597"/>
      <c r="S129" s="597"/>
      <c r="T129" s="597"/>
      <c r="U129" s="597"/>
      <c r="V129" s="597"/>
      <c r="W129" s="597"/>
      <c r="X129" s="597"/>
      <c r="Y129" s="597"/>
      <c r="Z129" s="597"/>
      <c r="AA129" s="597"/>
      <c r="AB129" s="597"/>
      <c r="AC129" s="597"/>
      <c r="AD129" s="597"/>
      <c r="AE129" s="597"/>
      <c r="AF129" s="597"/>
      <c r="AG129" s="597"/>
      <c r="AH129" s="597"/>
      <c r="AI129" s="597"/>
      <c r="AJ129" s="597"/>
      <c r="AK129" s="134"/>
      <c r="AL129" s="135"/>
      <c r="AM129" s="383"/>
      <c r="AN129" s="175"/>
      <c r="AO129" s="384">
        <f t="shared" si="5"/>
        <v>46096</v>
      </c>
      <c r="AP129" s="280" t="str">
        <f t="shared" si="6"/>
        <v/>
      </c>
      <c r="AQ129" s="104"/>
      <c r="AR129" s="138"/>
      <c r="AS129" s="105"/>
      <c r="AT129" s="108"/>
      <c r="AU129" s="105"/>
      <c r="AV129" s="108"/>
      <c r="AW129" s="105"/>
      <c r="AX129" s="107"/>
      <c r="AY129" s="105"/>
      <c r="AZ129" s="105"/>
      <c r="BA129" s="113"/>
      <c r="BB129" s="140"/>
    </row>
    <row r="130" spans="1:54" s="7" customFormat="1" ht="27" customHeight="1" x14ac:dyDescent="0.35">
      <c r="A130" s="171">
        <v>46097</v>
      </c>
      <c r="B130" s="598" t="s">
        <v>88</v>
      </c>
      <c r="C130" s="598"/>
      <c r="D130" s="599" t="s">
        <v>89</v>
      </c>
      <c r="E130" s="599"/>
      <c r="F130" s="599"/>
      <c r="G130" s="599"/>
      <c r="H130" s="599"/>
      <c r="I130" s="599"/>
      <c r="J130" s="599"/>
      <c r="K130" s="599"/>
      <c r="L130" s="599"/>
      <c r="M130" s="599"/>
      <c r="N130" s="599"/>
      <c r="O130" s="599"/>
      <c r="P130" s="599"/>
      <c r="Q130" s="599"/>
      <c r="R130" s="599"/>
      <c r="S130" s="599"/>
      <c r="T130" s="599"/>
      <c r="U130" s="599"/>
      <c r="V130" s="599"/>
      <c r="W130" s="599"/>
      <c r="X130" s="599"/>
      <c r="Y130" s="599"/>
      <c r="Z130" s="599"/>
      <c r="AA130" s="599"/>
      <c r="AB130" s="599"/>
      <c r="AC130" s="599"/>
      <c r="AD130" s="599"/>
      <c r="AE130" s="599"/>
      <c r="AF130" s="599"/>
      <c r="AG130" s="599"/>
      <c r="AH130" s="599"/>
      <c r="AI130" s="599"/>
      <c r="AJ130" s="599"/>
      <c r="AK130" s="172">
        <v>84.352272727272734</v>
      </c>
      <c r="AL130" s="173">
        <v>6</v>
      </c>
      <c r="AM130" s="380">
        <f>IF(AL130="CO", "CO", IF(COUNTIF(AO:AO, A130)=0, 0, (8-SUMIF(AO:AO, A130, AL:AL)) / COUNTIF(AO:AO, A130)))</f>
        <v>2</v>
      </c>
      <c r="AN130" s="175" t="s">
        <v>163</v>
      </c>
      <c r="AO130" s="381">
        <f t="shared" si="5"/>
        <v>46097</v>
      </c>
      <c r="AP130" s="279" t="str">
        <f t="shared" si="6"/>
        <v>SA3.4.</v>
      </c>
      <c r="AQ130" s="178" t="s">
        <v>91</v>
      </c>
      <c r="AR130" s="179"/>
      <c r="AS130" s="342" t="s">
        <v>125</v>
      </c>
      <c r="AT130" s="103"/>
      <c r="AU130" s="179"/>
      <c r="AV130" s="180"/>
      <c r="AW130" s="179"/>
      <c r="AX130" s="102"/>
      <c r="AY130" s="179"/>
      <c r="AZ130" s="179"/>
      <c r="BA130" s="181"/>
      <c r="BB130" s="182"/>
    </row>
    <row r="131" spans="1:54" s="7" customFormat="1" ht="27" customHeight="1" x14ac:dyDescent="0.35">
      <c r="A131" s="171">
        <v>46098</v>
      </c>
      <c r="B131" s="598" t="s">
        <v>88</v>
      </c>
      <c r="C131" s="598"/>
      <c r="D131" s="599" t="s">
        <v>89</v>
      </c>
      <c r="E131" s="599"/>
      <c r="F131" s="599"/>
      <c r="G131" s="599"/>
      <c r="H131" s="599"/>
      <c r="I131" s="599"/>
      <c r="J131" s="599"/>
      <c r="K131" s="599"/>
      <c r="L131" s="599"/>
      <c r="M131" s="599"/>
      <c r="N131" s="599"/>
      <c r="O131" s="599"/>
      <c r="P131" s="599"/>
      <c r="Q131" s="599"/>
      <c r="R131" s="599"/>
      <c r="S131" s="599"/>
      <c r="T131" s="599"/>
      <c r="U131" s="599"/>
      <c r="V131" s="599"/>
      <c r="W131" s="599"/>
      <c r="X131" s="599"/>
      <c r="Y131" s="599"/>
      <c r="Z131" s="599"/>
      <c r="AA131" s="599"/>
      <c r="AB131" s="599"/>
      <c r="AC131" s="599"/>
      <c r="AD131" s="599"/>
      <c r="AE131" s="599"/>
      <c r="AF131" s="599"/>
      <c r="AG131" s="599"/>
      <c r="AH131" s="599"/>
      <c r="AI131" s="599"/>
      <c r="AJ131" s="599"/>
      <c r="AK131" s="172">
        <v>84.352272727272734</v>
      </c>
      <c r="AL131" s="173">
        <v>6</v>
      </c>
      <c r="AM131" s="380">
        <f>IF(AL131="CO", "CO", IF(COUNTIF(AO:AO, A131)=0, 0, (8-SUMIF(AO:AO, A131, AL:AL)) / COUNTIF(AO:AO, A131)))</f>
        <v>2</v>
      </c>
      <c r="AN131" s="189" t="s">
        <v>170</v>
      </c>
      <c r="AO131" s="381">
        <f t="shared" si="5"/>
        <v>46098</v>
      </c>
      <c r="AP131" s="279" t="str">
        <f t="shared" si="6"/>
        <v>SA3.4.</v>
      </c>
      <c r="AQ131" s="178" t="s">
        <v>99</v>
      </c>
      <c r="AR131" s="179" t="s">
        <v>171</v>
      </c>
      <c r="AS131" s="394" t="s">
        <v>127</v>
      </c>
      <c r="AT131" s="180"/>
      <c r="AU131" s="179"/>
      <c r="AV131" s="393" t="s">
        <v>172</v>
      </c>
      <c r="AW131" s="179"/>
      <c r="AX131" s="103"/>
      <c r="AY131" s="179"/>
      <c r="AZ131" s="179"/>
      <c r="BA131" s="181"/>
      <c r="BB131" s="182"/>
    </row>
    <row r="132" spans="1:54" s="7" customFormat="1" ht="27" customHeight="1" x14ac:dyDescent="0.35">
      <c r="A132" s="171">
        <v>46099</v>
      </c>
      <c r="B132" s="598" t="s">
        <v>88</v>
      </c>
      <c r="C132" s="598"/>
      <c r="D132" s="599" t="s">
        <v>89</v>
      </c>
      <c r="E132" s="599"/>
      <c r="F132" s="599"/>
      <c r="G132" s="599"/>
      <c r="H132" s="599"/>
      <c r="I132" s="599"/>
      <c r="J132" s="599"/>
      <c r="K132" s="599"/>
      <c r="L132" s="599"/>
      <c r="M132" s="599"/>
      <c r="N132" s="599"/>
      <c r="O132" s="599"/>
      <c r="P132" s="599"/>
      <c r="Q132" s="599"/>
      <c r="R132" s="599"/>
      <c r="S132" s="599"/>
      <c r="T132" s="599"/>
      <c r="U132" s="599"/>
      <c r="V132" s="599"/>
      <c r="W132" s="599"/>
      <c r="X132" s="599"/>
      <c r="Y132" s="599"/>
      <c r="Z132" s="599"/>
      <c r="AA132" s="599"/>
      <c r="AB132" s="599"/>
      <c r="AC132" s="599"/>
      <c r="AD132" s="599"/>
      <c r="AE132" s="599"/>
      <c r="AF132" s="599"/>
      <c r="AG132" s="599"/>
      <c r="AH132" s="599"/>
      <c r="AI132" s="599"/>
      <c r="AJ132" s="599"/>
      <c r="AK132" s="172">
        <v>84.352272727272734</v>
      </c>
      <c r="AL132" s="173">
        <v>6</v>
      </c>
      <c r="AM132" s="380">
        <f>IF(AL132="CO", "CO", IF(COUNTIF(AO:AO, A132)=0, 0, (8-SUMIF(AO:AO, A132, AL:AL)) / COUNTIF(AO:AO, A132)))</f>
        <v>2</v>
      </c>
      <c r="AN132" s="346" t="s">
        <v>173</v>
      </c>
      <c r="AO132" s="381">
        <f t="shared" si="5"/>
        <v>46099</v>
      </c>
      <c r="AP132" s="279" t="str">
        <f t="shared" si="6"/>
        <v>SA3.4.</v>
      </c>
      <c r="AQ132" s="178" t="s">
        <v>91</v>
      </c>
      <c r="AR132" s="179"/>
      <c r="AS132" s="342" t="s">
        <v>125</v>
      </c>
      <c r="AT132" s="180"/>
      <c r="AU132" s="179"/>
      <c r="AV132" s="382"/>
      <c r="AW132" s="179"/>
      <c r="AX132" s="102"/>
      <c r="AY132" s="179"/>
      <c r="AZ132" s="179"/>
      <c r="BA132" s="181"/>
      <c r="BB132" s="182"/>
    </row>
    <row r="133" spans="1:54" s="7" customFormat="1" ht="27" customHeight="1" x14ac:dyDescent="0.35">
      <c r="A133" s="171">
        <v>46100</v>
      </c>
      <c r="B133" s="598" t="s">
        <v>88</v>
      </c>
      <c r="C133" s="598"/>
      <c r="D133" s="599" t="s">
        <v>89</v>
      </c>
      <c r="E133" s="599"/>
      <c r="F133" s="599"/>
      <c r="G133" s="599"/>
      <c r="H133" s="599"/>
      <c r="I133" s="599"/>
      <c r="J133" s="599"/>
      <c r="K133" s="599"/>
      <c r="L133" s="599"/>
      <c r="M133" s="599"/>
      <c r="N133" s="599"/>
      <c r="O133" s="599"/>
      <c r="P133" s="599"/>
      <c r="Q133" s="599"/>
      <c r="R133" s="599"/>
      <c r="S133" s="599"/>
      <c r="T133" s="599"/>
      <c r="U133" s="599"/>
      <c r="V133" s="599"/>
      <c r="W133" s="599"/>
      <c r="X133" s="599"/>
      <c r="Y133" s="599"/>
      <c r="Z133" s="599"/>
      <c r="AA133" s="599"/>
      <c r="AB133" s="599"/>
      <c r="AC133" s="599"/>
      <c r="AD133" s="599"/>
      <c r="AE133" s="599"/>
      <c r="AF133" s="599"/>
      <c r="AG133" s="599"/>
      <c r="AH133" s="599"/>
      <c r="AI133" s="599"/>
      <c r="AJ133" s="599"/>
      <c r="AK133" s="172">
        <v>84.352272727272734</v>
      </c>
      <c r="AL133" s="173">
        <v>6</v>
      </c>
      <c r="AM133" s="380">
        <f>IF(AL133="CO", "CO", IF(COUNTIF(AO:AO, A133)=0, 0, (8-SUMIF(AO:AO, A133, AL:AL)) / COUNTIF(AO:AO, A133)))</f>
        <v>2</v>
      </c>
      <c r="AN133" s="346" t="s">
        <v>173</v>
      </c>
      <c r="AO133" s="381">
        <f t="shared" si="5"/>
        <v>46100</v>
      </c>
      <c r="AP133" s="279" t="str">
        <f t="shared" si="6"/>
        <v>SA3.4.</v>
      </c>
      <c r="AQ133" s="178" t="s">
        <v>91</v>
      </c>
      <c r="AR133" s="179"/>
      <c r="AS133" s="342" t="s">
        <v>125</v>
      </c>
      <c r="AT133" s="103"/>
      <c r="AU133" s="179"/>
      <c r="AV133" s="103"/>
      <c r="AW133" s="179"/>
      <c r="AX133" s="102"/>
      <c r="AY133" s="179"/>
      <c r="AZ133" s="179"/>
      <c r="BA133" s="181"/>
      <c r="BB133" s="182"/>
    </row>
    <row r="134" spans="1:54" s="7" customFormat="1" ht="27" customHeight="1" x14ac:dyDescent="0.35">
      <c r="A134" s="171">
        <v>46101</v>
      </c>
      <c r="B134" s="598" t="s">
        <v>88</v>
      </c>
      <c r="C134" s="598"/>
      <c r="D134" s="599" t="s">
        <v>89</v>
      </c>
      <c r="E134" s="599"/>
      <c r="F134" s="599"/>
      <c r="G134" s="599"/>
      <c r="H134" s="599"/>
      <c r="I134" s="599"/>
      <c r="J134" s="599"/>
      <c r="K134" s="599"/>
      <c r="L134" s="599"/>
      <c r="M134" s="599"/>
      <c r="N134" s="599"/>
      <c r="O134" s="599"/>
      <c r="P134" s="599"/>
      <c r="Q134" s="599"/>
      <c r="R134" s="599"/>
      <c r="S134" s="599"/>
      <c r="T134" s="599"/>
      <c r="U134" s="599"/>
      <c r="V134" s="599"/>
      <c r="W134" s="599"/>
      <c r="X134" s="599"/>
      <c r="Y134" s="599"/>
      <c r="Z134" s="599"/>
      <c r="AA134" s="599"/>
      <c r="AB134" s="599"/>
      <c r="AC134" s="599"/>
      <c r="AD134" s="599"/>
      <c r="AE134" s="599"/>
      <c r="AF134" s="599"/>
      <c r="AG134" s="599"/>
      <c r="AH134" s="599"/>
      <c r="AI134" s="599"/>
      <c r="AJ134" s="599"/>
      <c r="AK134" s="172">
        <v>84.352272727272734</v>
      </c>
      <c r="AL134" s="173">
        <v>6</v>
      </c>
      <c r="AM134" s="380">
        <f>IF(AL134="CO", "CO", IF(COUNTIF(AO:AO, A134)=0, 0, (8-SUMIF(AO:AO, A134, AL:AL)) / COUNTIF(AO:AO, A134)))</f>
        <v>2</v>
      </c>
      <c r="AN134" s="346" t="s">
        <v>173</v>
      </c>
      <c r="AO134" s="381">
        <f t="shared" si="5"/>
        <v>46101</v>
      </c>
      <c r="AP134" s="279" t="str">
        <f t="shared" si="6"/>
        <v>SA3.4.</v>
      </c>
      <c r="AQ134" s="178" t="s">
        <v>91</v>
      </c>
      <c r="AR134" s="179"/>
      <c r="AS134" s="251" t="s">
        <v>127</v>
      </c>
      <c r="AT134" s="180"/>
      <c r="AU134" s="179"/>
      <c r="AV134" s="387" t="s">
        <v>173</v>
      </c>
      <c r="AW134" s="179"/>
      <c r="AX134" s="102"/>
      <c r="AY134" s="179"/>
      <c r="AZ134" s="71"/>
      <c r="BA134" s="181"/>
      <c r="BB134" s="182"/>
    </row>
    <row r="135" spans="1:54" s="7" customFormat="1" ht="14.15" customHeight="1" x14ac:dyDescent="0.35">
      <c r="A135" s="76">
        <v>46102</v>
      </c>
      <c r="B135" s="596"/>
      <c r="C135" s="596"/>
      <c r="D135" s="597"/>
      <c r="E135" s="597"/>
      <c r="F135" s="597"/>
      <c r="G135" s="597"/>
      <c r="H135" s="597"/>
      <c r="I135" s="597"/>
      <c r="J135" s="597"/>
      <c r="K135" s="597"/>
      <c r="L135" s="597"/>
      <c r="M135" s="597"/>
      <c r="N135" s="597"/>
      <c r="O135" s="597"/>
      <c r="P135" s="597"/>
      <c r="Q135" s="597"/>
      <c r="R135" s="597"/>
      <c r="S135" s="597"/>
      <c r="T135" s="597"/>
      <c r="U135" s="597"/>
      <c r="V135" s="597"/>
      <c r="W135" s="597"/>
      <c r="X135" s="597"/>
      <c r="Y135" s="597"/>
      <c r="Z135" s="597"/>
      <c r="AA135" s="597"/>
      <c r="AB135" s="597"/>
      <c r="AC135" s="597"/>
      <c r="AD135" s="597"/>
      <c r="AE135" s="597"/>
      <c r="AF135" s="597"/>
      <c r="AG135" s="597"/>
      <c r="AH135" s="597"/>
      <c r="AI135" s="597"/>
      <c r="AJ135" s="597"/>
      <c r="AK135" s="134"/>
      <c r="AL135" s="135"/>
      <c r="AM135" s="383"/>
      <c r="AN135" s="26"/>
      <c r="AO135" s="384">
        <f t="shared" si="5"/>
        <v>46102</v>
      </c>
      <c r="AP135" s="280" t="str">
        <f t="shared" si="6"/>
        <v/>
      </c>
      <c r="AQ135" s="104"/>
      <c r="AR135" s="105"/>
      <c r="AS135" s="105"/>
      <c r="AT135" s="108"/>
      <c r="AU135" s="105"/>
      <c r="AV135" s="108"/>
      <c r="AW135" s="105"/>
      <c r="AX135" s="107"/>
      <c r="AY135" s="105"/>
      <c r="AZ135" s="306"/>
      <c r="BA135" s="113"/>
      <c r="BB135" s="140"/>
    </row>
    <row r="136" spans="1:54" s="7" customFormat="1" ht="14.15" customHeight="1" x14ac:dyDescent="0.35">
      <c r="A136" s="76">
        <v>46103</v>
      </c>
      <c r="B136" s="596"/>
      <c r="C136" s="596"/>
      <c r="D136" s="597"/>
      <c r="E136" s="597"/>
      <c r="F136" s="597"/>
      <c r="G136" s="597"/>
      <c r="H136" s="597"/>
      <c r="I136" s="597"/>
      <c r="J136" s="597"/>
      <c r="K136" s="597"/>
      <c r="L136" s="597"/>
      <c r="M136" s="597"/>
      <c r="N136" s="597"/>
      <c r="O136" s="597"/>
      <c r="P136" s="597"/>
      <c r="Q136" s="597"/>
      <c r="R136" s="597"/>
      <c r="S136" s="597"/>
      <c r="T136" s="597"/>
      <c r="U136" s="597"/>
      <c r="V136" s="597"/>
      <c r="W136" s="597"/>
      <c r="X136" s="597"/>
      <c r="Y136" s="597"/>
      <c r="Z136" s="597"/>
      <c r="AA136" s="597"/>
      <c r="AB136" s="597"/>
      <c r="AC136" s="597"/>
      <c r="AD136" s="597"/>
      <c r="AE136" s="597"/>
      <c r="AF136" s="597"/>
      <c r="AG136" s="597"/>
      <c r="AH136" s="597"/>
      <c r="AI136" s="597"/>
      <c r="AJ136" s="597"/>
      <c r="AK136" s="134"/>
      <c r="AL136" s="135"/>
      <c r="AM136" s="383"/>
      <c r="AN136" s="26"/>
      <c r="AO136" s="384">
        <f t="shared" si="5"/>
        <v>46103</v>
      </c>
      <c r="AP136" s="280" t="str">
        <f t="shared" si="6"/>
        <v/>
      </c>
      <c r="AQ136" s="104"/>
      <c r="AR136" s="138"/>
      <c r="AS136" s="105"/>
      <c r="AT136" s="108"/>
      <c r="AU136" s="105"/>
      <c r="AV136" s="307"/>
      <c r="AW136" s="105"/>
      <c r="AX136" s="107"/>
      <c r="AY136" s="105"/>
      <c r="AZ136" s="306"/>
      <c r="BA136" s="113"/>
      <c r="BB136" s="140"/>
    </row>
    <row r="137" spans="1:54" s="7" customFormat="1" ht="27" customHeight="1" x14ac:dyDescent="0.35">
      <c r="A137" s="171">
        <v>46104</v>
      </c>
      <c r="B137" s="598" t="s">
        <v>88</v>
      </c>
      <c r="C137" s="598"/>
      <c r="D137" s="599" t="s">
        <v>89</v>
      </c>
      <c r="E137" s="599"/>
      <c r="F137" s="599"/>
      <c r="G137" s="599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  <c r="U137" s="599"/>
      <c r="V137" s="599"/>
      <c r="W137" s="599"/>
      <c r="X137" s="599"/>
      <c r="Y137" s="599"/>
      <c r="Z137" s="599"/>
      <c r="AA137" s="599"/>
      <c r="AB137" s="599"/>
      <c r="AC137" s="599"/>
      <c r="AD137" s="599"/>
      <c r="AE137" s="599"/>
      <c r="AF137" s="599"/>
      <c r="AG137" s="599"/>
      <c r="AH137" s="599"/>
      <c r="AI137" s="599"/>
      <c r="AJ137" s="599"/>
      <c r="AK137" s="172">
        <v>84.352272727272734</v>
      </c>
      <c r="AL137" s="173">
        <v>6</v>
      </c>
      <c r="AM137" s="380">
        <f>IF(AL137="CO", "CO", IF(COUNTIF(AO:AO, A137)=0, 0, (8-SUMIF(AO:AO, A137, AL:AL)) / COUNTIF(AO:AO, A137)))</f>
        <v>2</v>
      </c>
      <c r="AN137" s="347" t="s">
        <v>174</v>
      </c>
      <c r="AO137" s="381">
        <f t="shared" si="5"/>
        <v>46104</v>
      </c>
      <c r="AP137" s="279" t="str">
        <f t="shared" si="6"/>
        <v>SA3.4.</v>
      </c>
      <c r="AQ137" s="178" t="s">
        <v>91</v>
      </c>
      <c r="AR137" s="183"/>
      <c r="AS137" s="342" t="s">
        <v>125</v>
      </c>
      <c r="AT137" s="180"/>
      <c r="AU137" s="179"/>
      <c r="AV137" s="116"/>
      <c r="AW137" s="179"/>
      <c r="AX137" s="102"/>
      <c r="AY137" s="179"/>
      <c r="AZ137" s="71"/>
      <c r="BA137" s="181"/>
      <c r="BB137" s="182"/>
    </row>
    <row r="138" spans="1:54" s="7" customFormat="1" ht="27" customHeight="1" x14ac:dyDescent="0.35">
      <c r="A138" s="171">
        <v>46105</v>
      </c>
      <c r="B138" s="598" t="s">
        <v>88</v>
      </c>
      <c r="C138" s="598"/>
      <c r="D138" s="599" t="s">
        <v>89</v>
      </c>
      <c r="E138" s="599"/>
      <c r="F138" s="599"/>
      <c r="G138" s="599"/>
      <c r="H138" s="599"/>
      <c r="I138" s="599"/>
      <c r="J138" s="599"/>
      <c r="K138" s="599"/>
      <c r="L138" s="599"/>
      <c r="M138" s="599"/>
      <c r="N138" s="599"/>
      <c r="O138" s="599"/>
      <c r="P138" s="599"/>
      <c r="Q138" s="599"/>
      <c r="R138" s="599"/>
      <c r="S138" s="599"/>
      <c r="T138" s="599"/>
      <c r="U138" s="599"/>
      <c r="V138" s="599"/>
      <c r="W138" s="599"/>
      <c r="X138" s="599"/>
      <c r="Y138" s="599"/>
      <c r="Z138" s="599"/>
      <c r="AA138" s="599"/>
      <c r="AB138" s="599"/>
      <c r="AC138" s="599"/>
      <c r="AD138" s="599"/>
      <c r="AE138" s="599"/>
      <c r="AF138" s="599"/>
      <c r="AG138" s="599"/>
      <c r="AH138" s="599"/>
      <c r="AI138" s="599"/>
      <c r="AJ138" s="599"/>
      <c r="AK138" s="172">
        <v>84.352272727272734</v>
      </c>
      <c r="AL138" s="173">
        <v>6</v>
      </c>
      <c r="AM138" s="385">
        <f>IF(AL138="CO", "CO", IF(COUNTIF(AO:AO, A138)=0, 0, (8-SUMIF(AO:AO, A138, AL:AL)) / COUNTIF(AO:AO, A138)))</f>
        <v>2</v>
      </c>
      <c r="AN138" s="348" t="s">
        <v>174</v>
      </c>
      <c r="AO138" s="381">
        <f t="shared" si="5"/>
        <v>46105</v>
      </c>
      <c r="AP138" s="279" t="str">
        <f t="shared" si="6"/>
        <v>SA3.4.</v>
      </c>
      <c r="AQ138" s="178" t="s">
        <v>91</v>
      </c>
      <c r="AR138" s="179"/>
      <c r="AS138" s="342" t="s">
        <v>125</v>
      </c>
      <c r="AT138" s="180"/>
      <c r="AU138" s="179"/>
      <c r="AV138" s="382"/>
      <c r="AW138" s="179"/>
      <c r="AX138" s="102"/>
      <c r="AY138" s="179"/>
      <c r="AZ138" s="179"/>
      <c r="BA138" s="181"/>
      <c r="BB138" s="182"/>
    </row>
    <row r="139" spans="1:54" s="7" customFormat="1" ht="27" customHeight="1" x14ac:dyDescent="0.35">
      <c r="A139" s="171">
        <v>46106</v>
      </c>
      <c r="B139" s="598" t="s">
        <v>88</v>
      </c>
      <c r="C139" s="598"/>
      <c r="D139" s="599" t="s">
        <v>89</v>
      </c>
      <c r="E139" s="599"/>
      <c r="F139" s="599"/>
      <c r="G139" s="599"/>
      <c r="H139" s="599"/>
      <c r="I139" s="599"/>
      <c r="J139" s="599"/>
      <c r="K139" s="599"/>
      <c r="L139" s="599"/>
      <c r="M139" s="599"/>
      <c r="N139" s="599"/>
      <c r="O139" s="599"/>
      <c r="P139" s="599"/>
      <c r="Q139" s="599"/>
      <c r="R139" s="599"/>
      <c r="S139" s="599"/>
      <c r="T139" s="599"/>
      <c r="U139" s="599"/>
      <c r="V139" s="599"/>
      <c r="W139" s="599"/>
      <c r="X139" s="599"/>
      <c r="Y139" s="599"/>
      <c r="Z139" s="599"/>
      <c r="AA139" s="599"/>
      <c r="AB139" s="599"/>
      <c r="AC139" s="599"/>
      <c r="AD139" s="599"/>
      <c r="AE139" s="599"/>
      <c r="AF139" s="599"/>
      <c r="AG139" s="599"/>
      <c r="AH139" s="599"/>
      <c r="AI139" s="599"/>
      <c r="AJ139" s="599"/>
      <c r="AK139" s="172">
        <v>84.352272727272734</v>
      </c>
      <c r="AL139" s="173">
        <v>6</v>
      </c>
      <c r="AM139" s="385">
        <f>IF(AL139="CO", "CO", IF(COUNTIF(AO:AO, A139)=0, 0, (8-SUMIF(AO:AO, A139, AL:AL)) / COUNTIF(AO:AO, A139)))</f>
        <v>2</v>
      </c>
      <c r="AN139" s="348" t="s">
        <v>174</v>
      </c>
      <c r="AO139" s="381">
        <f t="shared" si="5"/>
        <v>46106</v>
      </c>
      <c r="AP139" s="279" t="str">
        <f t="shared" si="6"/>
        <v>SA3.4.</v>
      </c>
      <c r="AQ139" s="178" t="s">
        <v>91</v>
      </c>
      <c r="AR139" s="179"/>
      <c r="AS139" s="251" t="s">
        <v>127</v>
      </c>
      <c r="AT139" s="180"/>
      <c r="AU139" s="179"/>
      <c r="AV139" s="349" t="s">
        <v>174</v>
      </c>
      <c r="AW139" s="179"/>
      <c r="AX139" s="102"/>
      <c r="AY139" s="179"/>
      <c r="AZ139" s="179"/>
      <c r="BA139" s="181"/>
      <c r="BB139" s="182"/>
    </row>
    <row r="140" spans="1:54" s="7" customFormat="1" ht="27" customHeight="1" x14ac:dyDescent="0.35">
      <c r="A140" s="171">
        <v>46107</v>
      </c>
      <c r="B140" s="598" t="s">
        <v>88</v>
      </c>
      <c r="C140" s="598"/>
      <c r="D140" s="599" t="s">
        <v>89</v>
      </c>
      <c r="E140" s="599"/>
      <c r="F140" s="599"/>
      <c r="G140" s="599"/>
      <c r="H140" s="599"/>
      <c r="I140" s="599"/>
      <c r="J140" s="599"/>
      <c r="K140" s="599"/>
      <c r="L140" s="599"/>
      <c r="M140" s="599"/>
      <c r="N140" s="599"/>
      <c r="O140" s="599"/>
      <c r="P140" s="599"/>
      <c r="Q140" s="599"/>
      <c r="R140" s="599"/>
      <c r="S140" s="599"/>
      <c r="T140" s="599"/>
      <c r="U140" s="599"/>
      <c r="V140" s="599"/>
      <c r="W140" s="599"/>
      <c r="X140" s="599"/>
      <c r="Y140" s="599"/>
      <c r="Z140" s="599"/>
      <c r="AA140" s="599"/>
      <c r="AB140" s="599"/>
      <c r="AC140" s="599"/>
      <c r="AD140" s="599"/>
      <c r="AE140" s="599"/>
      <c r="AF140" s="599"/>
      <c r="AG140" s="599"/>
      <c r="AH140" s="599"/>
      <c r="AI140" s="599"/>
      <c r="AJ140" s="599"/>
      <c r="AK140" s="172">
        <v>84.352272727272734</v>
      </c>
      <c r="AL140" s="173">
        <v>6</v>
      </c>
      <c r="AM140" s="385">
        <f>IF(AL140="CO", "CO", IF(COUNTIF(AO:AO, A140)=0, 0, (8-SUMIF(AO:AO, A140, AL:AL)) / COUNTIF(AO:AO, A140)))</f>
        <v>2</v>
      </c>
      <c r="AN140" s="308" t="s">
        <v>175</v>
      </c>
      <c r="AO140" s="381">
        <f t="shared" si="5"/>
        <v>46107</v>
      </c>
      <c r="AP140" s="279" t="str">
        <f t="shared" si="6"/>
        <v>SA3.4.</v>
      </c>
      <c r="AQ140" s="178" t="s">
        <v>91</v>
      </c>
      <c r="AR140" s="179"/>
      <c r="AS140" s="251" t="s">
        <v>127</v>
      </c>
      <c r="AT140" s="180"/>
      <c r="AU140" s="179"/>
      <c r="AV140" s="256" t="s">
        <v>176</v>
      </c>
      <c r="AW140" s="179"/>
      <c r="AX140" s="102"/>
      <c r="AY140" s="179"/>
      <c r="AZ140" s="179"/>
      <c r="BA140" s="181"/>
      <c r="BB140" s="182"/>
    </row>
    <row r="141" spans="1:54" s="7" customFormat="1" ht="27" customHeight="1" x14ac:dyDescent="0.35">
      <c r="A141" s="171">
        <v>46108</v>
      </c>
      <c r="B141" s="598" t="s">
        <v>88</v>
      </c>
      <c r="C141" s="598"/>
      <c r="D141" s="599" t="s">
        <v>89</v>
      </c>
      <c r="E141" s="599"/>
      <c r="F141" s="599"/>
      <c r="G141" s="599"/>
      <c r="H141" s="599"/>
      <c r="I141" s="599"/>
      <c r="J141" s="599"/>
      <c r="K141" s="599"/>
      <c r="L141" s="599"/>
      <c r="M141" s="599"/>
      <c r="N141" s="599"/>
      <c r="O141" s="599"/>
      <c r="P141" s="599"/>
      <c r="Q141" s="599"/>
      <c r="R141" s="599"/>
      <c r="S141" s="599"/>
      <c r="T141" s="599"/>
      <c r="U141" s="599"/>
      <c r="V141" s="599"/>
      <c r="W141" s="599"/>
      <c r="X141" s="599"/>
      <c r="Y141" s="599"/>
      <c r="Z141" s="599"/>
      <c r="AA141" s="599"/>
      <c r="AB141" s="599"/>
      <c r="AC141" s="599"/>
      <c r="AD141" s="599"/>
      <c r="AE141" s="599"/>
      <c r="AF141" s="599"/>
      <c r="AG141" s="599"/>
      <c r="AH141" s="599"/>
      <c r="AI141" s="599"/>
      <c r="AJ141" s="599"/>
      <c r="AK141" s="172">
        <v>84.352272727272734</v>
      </c>
      <c r="AL141" s="173">
        <v>6</v>
      </c>
      <c r="AM141" s="385">
        <f>IF(AL141="CO", "CO", IF(COUNTIF(AO:AO, A141)=0, 0, (8-SUMIF(AO:AO, A141, AL:AL)) / COUNTIF(AO:AO, A141)))</f>
        <v>2</v>
      </c>
      <c r="AN141" s="175" t="s">
        <v>163</v>
      </c>
      <c r="AO141" s="381">
        <f t="shared" si="5"/>
        <v>46108</v>
      </c>
      <c r="AP141" s="279" t="str">
        <f t="shared" si="6"/>
        <v>SA3.4.</v>
      </c>
      <c r="AQ141" s="178"/>
      <c r="AR141" s="179"/>
      <c r="AS141" s="251" t="s">
        <v>127</v>
      </c>
      <c r="AT141" s="103"/>
      <c r="AU141" s="179"/>
      <c r="AV141" s="71" t="s">
        <v>163</v>
      </c>
      <c r="AW141" s="179"/>
      <c r="AX141" s="102"/>
      <c r="AY141" s="179"/>
      <c r="AZ141" s="179"/>
      <c r="BA141" s="181"/>
      <c r="BB141" s="182"/>
    </row>
    <row r="142" spans="1:54" s="7" customFormat="1" ht="14.15" customHeight="1" x14ac:dyDescent="0.35">
      <c r="A142" s="76">
        <v>46109</v>
      </c>
      <c r="B142" s="596"/>
      <c r="C142" s="596"/>
      <c r="D142" s="597"/>
      <c r="E142" s="597"/>
      <c r="F142" s="597"/>
      <c r="G142" s="597"/>
      <c r="H142" s="597"/>
      <c r="I142" s="597"/>
      <c r="J142" s="597"/>
      <c r="K142" s="597"/>
      <c r="L142" s="597"/>
      <c r="M142" s="597"/>
      <c r="N142" s="597"/>
      <c r="O142" s="597"/>
      <c r="P142" s="597"/>
      <c r="Q142" s="597"/>
      <c r="R142" s="597"/>
      <c r="S142" s="597"/>
      <c r="T142" s="597"/>
      <c r="U142" s="597"/>
      <c r="V142" s="597"/>
      <c r="W142" s="597"/>
      <c r="X142" s="597"/>
      <c r="Y142" s="597"/>
      <c r="Z142" s="597"/>
      <c r="AA142" s="597"/>
      <c r="AB142" s="597"/>
      <c r="AC142" s="597"/>
      <c r="AD142" s="597"/>
      <c r="AE142" s="597"/>
      <c r="AF142" s="597"/>
      <c r="AG142" s="597"/>
      <c r="AH142" s="597"/>
      <c r="AI142" s="597"/>
      <c r="AJ142" s="597"/>
      <c r="AK142" s="134"/>
      <c r="AL142" s="135"/>
      <c r="AM142" s="383"/>
      <c r="AN142" s="26"/>
      <c r="AO142" s="384">
        <f t="shared" ref="AO142:AO145" si="7">A142</f>
        <v>46109</v>
      </c>
      <c r="AP142" s="280" t="str">
        <f t="shared" ref="AP142:AP145" si="8">LEFT(D142,6)</f>
        <v/>
      </c>
      <c r="AQ142" s="104"/>
      <c r="AR142" s="105"/>
      <c r="AS142" s="105"/>
      <c r="AT142" s="108"/>
      <c r="AU142" s="105"/>
      <c r="AV142" s="108"/>
      <c r="AW142" s="105"/>
      <c r="AX142" s="107"/>
      <c r="AY142" s="105"/>
      <c r="AZ142" s="306"/>
      <c r="BA142" s="113"/>
      <c r="BB142" s="140"/>
    </row>
    <row r="143" spans="1:54" s="7" customFormat="1" ht="14.15" customHeight="1" x14ac:dyDescent="0.35">
      <c r="A143" s="76">
        <v>46110</v>
      </c>
      <c r="B143" s="596"/>
      <c r="C143" s="596"/>
      <c r="D143" s="597"/>
      <c r="E143" s="597"/>
      <c r="F143" s="597"/>
      <c r="G143" s="597"/>
      <c r="H143" s="597"/>
      <c r="I143" s="597"/>
      <c r="J143" s="597"/>
      <c r="K143" s="597"/>
      <c r="L143" s="597"/>
      <c r="M143" s="597"/>
      <c r="N143" s="597"/>
      <c r="O143" s="597"/>
      <c r="P143" s="597"/>
      <c r="Q143" s="597"/>
      <c r="R143" s="597"/>
      <c r="S143" s="597"/>
      <c r="T143" s="597"/>
      <c r="U143" s="597"/>
      <c r="V143" s="597"/>
      <c r="W143" s="597"/>
      <c r="X143" s="597"/>
      <c r="Y143" s="597"/>
      <c r="Z143" s="597"/>
      <c r="AA143" s="597"/>
      <c r="AB143" s="597"/>
      <c r="AC143" s="597"/>
      <c r="AD143" s="597"/>
      <c r="AE143" s="597"/>
      <c r="AF143" s="597"/>
      <c r="AG143" s="597"/>
      <c r="AH143" s="597"/>
      <c r="AI143" s="597"/>
      <c r="AJ143" s="597"/>
      <c r="AK143" s="134"/>
      <c r="AL143" s="135"/>
      <c r="AM143" s="383"/>
      <c r="AN143" s="26"/>
      <c r="AO143" s="384">
        <f t="shared" si="7"/>
        <v>46110</v>
      </c>
      <c r="AP143" s="280" t="str">
        <f t="shared" si="8"/>
        <v/>
      </c>
      <c r="AQ143" s="104"/>
      <c r="AR143" s="138"/>
      <c r="AS143" s="105"/>
      <c r="AT143" s="108"/>
      <c r="AU143" s="105"/>
      <c r="AV143" s="307"/>
      <c r="AW143" s="105"/>
      <c r="AX143" s="107"/>
      <c r="AY143" s="105"/>
      <c r="AZ143" s="306"/>
      <c r="BA143" s="113"/>
      <c r="BB143" s="140"/>
    </row>
    <row r="144" spans="1:54" s="7" customFormat="1" ht="27" customHeight="1" x14ac:dyDescent="0.35">
      <c r="A144" s="171">
        <v>46111</v>
      </c>
      <c r="B144" s="598" t="s">
        <v>88</v>
      </c>
      <c r="C144" s="598"/>
      <c r="D144" s="599" t="s">
        <v>89</v>
      </c>
      <c r="E144" s="599"/>
      <c r="F144" s="599"/>
      <c r="G144" s="599"/>
      <c r="H144" s="599"/>
      <c r="I144" s="599"/>
      <c r="J144" s="599"/>
      <c r="K144" s="599"/>
      <c r="L144" s="599"/>
      <c r="M144" s="599"/>
      <c r="N144" s="599"/>
      <c r="O144" s="599"/>
      <c r="P144" s="599"/>
      <c r="Q144" s="599"/>
      <c r="R144" s="599"/>
      <c r="S144" s="599"/>
      <c r="T144" s="599"/>
      <c r="U144" s="599"/>
      <c r="V144" s="599"/>
      <c r="W144" s="599"/>
      <c r="X144" s="599"/>
      <c r="Y144" s="599"/>
      <c r="Z144" s="599"/>
      <c r="AA144" s="599"/>
      <c r="AB144" s="599"/>
      <c r="AC144" s="599"/>
      <c r="AD144" s="599"/>
      <c r="AE144" s="599"/>
      <c r="AF144" s="599"/>
      <c r="AG144" s="599"/>
      <c r="AH144" s="599"/>
      <c r="AI144" s="599"/>
      <c r="AJ144" s="599"/>
      <c r="AK144" s="172">
        <v>84.352272727272734</v>
      </c>
      <c r="AL144" s="173">
        <v>6</v>
      </c>
      <c r="AM144" s="380">
        <f>IF(AL144="CO", "CO", IF(COUNTIF(AO:AO, A144)=0, 0, (8-SUMIF(AO:AO, A144, AL:AL)) / COUNTIF(AO:AO, A144)))</f>
        <v>2</v>
      </c>
      <c r="AN144" s="344" t="s">
        <v>167</v>
      </c>
      <c r="AO144" s="381">
        <f t="shared" si="7"/>
        <v>46111</v>
      </c>
      <c r="AP144" s="279" t="str">
        <f t="shared" si="8"/>
        <v>SA3.4.</v>
      </c>
      <c r="AQ144" s="178" t="s">
        <v>91</v>
      </c>
      <c r="AR144" s="183"/>
      <c r="AS144" s="251" t="s">
        <v>127</v>
      </c>
      <c r="AT144" s="180"/>
      <c r="AU144" s="179"/>
      <c r="AV144" s="345" t="s">
        <v>177</v>
      </c>
      <c r="AW144" s="179"/>
      <c r="AX144" s="102"/>
      <c r="AY144" s="179"/>
      <c r="AZ144" s="71"/>
      <c r="BA144" s="181"/>
      <c r="BB144" s="182"/>
    </row>
    <row r="145" spans="1:54" s="7" customFormat="1" ht="27" customHeight="1" thickBot="1" x14ac:dyDescent="0.4">
      <c r="A145" s="259">
        <v>46112</v>
      </c>
      <c r="B145" s="657" t="s">
        <v>88</v>
      </c>
      <c r="C145" s="657"/>
      <c r="D145" s="658" t="s">
        <v>89</v>
      </c>
      <c r="E145" s="658"/>
      <c r="F145" s="658"/>
      <c r="G145" s="658"/>
      <c r="H145" s="658"/>
      <c r="I145" s="658"/>
      <c r="J145" s="658"/>
      <c r="K145" s="658"/>
      <c r="L145" s="658"/>
      <c r="M145" s="658"/>
      <c r="N145" s="658"/>
      <c r="O145" s="658"/>
      <c r="P145" s="658"/>
      <c r="Q145" s="658"/>
      <c r="R145" s="658"/>
      <c r="S145" s="658"/>
      <c r="T145" s="658"/>
      <c r="U145" s="658"/>
      <c r="V145" s="658"/>
      <c r="W145" s="658"/>
      <c r="X145" s="658"/>
      <c r="Y145" s="658"/>
      <c r="Z145" s="658"/>
      <c r="AA145" s="658"/>
      <c r="AB145" s="658"/>
      <c r="AC145" s="658"/>
      <c r="AD145" s="658"/>
      <c r="AE145" s="658"/>
      <c r="AF145" s="658"/>
      <c r="AG145" s="658"/>
      <c r="AH145" s="658"/>
      <c r="AI145" s="658"/>
      <c r="AJ145" s="658"/>
      <c r="AK145" s="260">
        <v>84.352272727272734</v>
      </c>
      <c r="AL145" s="261">
        <v>6</v>
      </c>
      <c r="AM145" s="388">
        <f>IF(AL145="CO", "CO", IF(COUNTIF(AO:AO, A145)=0, 0, (8-SUMIF(AO:AO, A145, AL:AL)) / COUNTIF(AO:AO, A145)))</f>
        <v>2</v>
      </c>
      <c r="AN145" s="262" t="s">
        <v>178</v>
      </c>
      <c r="AO145" s="389">
        <f t="shared" si="7"/>
        <v>46112</v>
      </c>
      <c r="AP145" s="390" t="str">
        <f t="shared" si="8"/>
        <v>SA3.4.</v>
      </c>
      <c r="AQ145" s="263" t="s">
        <v>91</v>
      </c>
      <c r="AR145" s="264"/>
      <c r="AS145" s="351" t="s">
        <v>125</v>
      </c>
      <c r="AT145" s="265"/>
      <c r="AU145" s="264"/>
      <c r="AV145" s="392" t="s">
        <v>179</v>
      </c>
      <c r="AW145" s="264"/>
      <c r="AX145" s="266"/>
      <c r="AY145" s="264"/>
      <c r="AZ145" s="264"/>
      <c r="BA145" s="267"/>
      <c r="BB145" s="268"/>
    </row>
    <row r="146" spans="1:54" s="7" customFormat="1" ht="15" customHeight="1" thickBot="1" x14ac:dyDescent="0.4">
      <c r="A146" s="626" t="s">
        <v>110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27"/>
      <c r="AB146" s="627"/>
      <c r="AC146" s="627"/>
      <c r="AD146" s="627"/>
      <c r="AE146" s="627"/>
      <c r="AF146" s="627"/>
      <c r="AG146" s="627"/>
      <c r="AH146" s="627"/>
      <c r="AI146" s="627"/>
      <c r="AJ146" s="628"/>
      <c r="AK146" s="31"/>
      <c r="AL146" s="118">
        <f>SUM(AL115:AL145)+COUNTIF(AL115:AL145,"CO")*6</f>
        <v>132</v>
      </c>
      <c r="AM146" s="31">
        <f>SUM(AM115:AM145)+COUNTIF(AM115:AM145,"CO")*2</f>
        <v>44</v>
      </c>
      <c r="AO146" s="8"/>
      <c r="AP146" s="8"/>
      <c r="AV146" s="70"/>
    </row>
    <row r="147" spans="1:54" s="7" customFormat="1" x14ac:dyDescent="0.35">
      <c r="A147" s="629" t="s">
        <v>111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30"/>
      <c r="AB147" s="630"/>
      <c r="AC147" s="630"/>
      <c r="AD147" s="630"/>
      <c r="AE147" s="630"/>
      <c r="AF147" s="630"/>
      <c r="AG147" s="630"/>
      <c r="AH147" s="630"/>
      <c r="AI147" s="630"/>
      <c r="AJ147" s="630"/>
      <c r="AK147" s="630"/>
      <c r="AL147" s="630"/>
      <c r="AM147" s="631"/>
      <c r="AO147" s="8"/>
      <c r="AP147" s="8"/>
      <c r="AV147" s="70"/>
    </row>
    <row r="148" spans="1:54" s="7" customFormat="1" ht="15" customHeight="1" thickBot="1" x14ac:dyDescent="0.4">
      <c r="A148" s="632"/>
      <c r="B148" s="633"/>
      <c r="C148" s="633"/>
      <c r="D148" s="633"/>
      <c r="E148" s="633"/>
      <c r="F148" s="633"/>
      <c r="G148" s="633"/>
      <c r="H148" s="633"/>
      <c r="I148" s="633"/>
      <c r="J148" s="633"/>
      <c r="K148" s="633"/>
      <c r="L148" s="633"/>
      <c r="M148" s="633"/>
      <c r="N148" s="633"/>
      <c r="O148" s="633"/>
      <c r="P148" s="633"/>
      <c r="Q148" s="633"/>
      <c r="R148" s="633"/>
      <c r="S148" s="633"/>
      <c r="T148" s="633"/>
      <c r="U148" s="633"/>
      <c r="V148" s="633"/>
      <c r="W148" s="633"/>
      <c r="X148" s="633"/>
      <c r="Y148" s="633"/>
      <c r="Z148" s="633"/>
      <c r="AA148" s="633"/>
      <c r="AB148" s="633"/>
      <c r="AC148" s="633"/>
      <c r="AD148" s="633"/>
      <c r="AE148" s="633"/>
      <c r="AF148" s="633"/>
      <c r="AG148" s="633"/>
      <c r="AH148" s="633"/>
      <c r="AI148" s="633"/>
      <c r="AJ148" s="633"/>
      <c r="AK148" s="633"/>
      <c r="AL148" s="633"/>
      <c r="AM148" s="634"/>
      <c r="AO148" s="8"/>
      <c r="AP148" s="8"/>
      <c r="AV148" s="70"/>
    </row>
    <row r="149" spans="1:54" s="7" customFormat="1" ht="27" customHeight="1" x14ac:dyDescent="0.35">
      <c r="A149" s="610" t="s">
        <v>112</v>
      </c>
      <c r="B149" s="611"/>
      <c r="C149" s="612"/>
      <c r="D149" s="613" t="s">
        <v>58</v>
      </c>
      <c r="E149" s="614"/>
      <c r="F149" s="614"/>
      <c r="G149" s="614"/>
      <c r="H149" s="614"/>
      <c r="I149" s="614"/>
      <c r="J149" s="614"/>
      <c r="K149" s="614"/>
      <c r="L149" s="614"/>
      <c r="M149" s="614"/>
      <c r="N149" s="614"/>
      <c r="O149" s="614"/>
      <c r="P149" s="614"/>
      <c r="Q149" s="614"/>
      <c r="R149" s="614"/>
      <c r="S149" s="614"/>
      <c r="T149" s="614"/>
      <c r="U149" s="614"/>
      <c r="V149" s="614"/>
      <c r="W149" s="614"/>
      <c r="X149" s="614"/>
      <c r="Y149" s="614"/>
      <c r="Z149" s="614"/>
      <c r="AA149" s="614"/>
      <c r="AB149" s="614"/>
      <c r="AC149" s="614"/>
      <c r="AD149" s="614"/>
      <c r="AE149" s="614"/>
      <c r="AF149" s="614"/>
      <c r="AG149" s="614"/>
      <c r="AH149" s="614"/>
      <c r="AI149" s="614"/>
      <c r="AJ149" s="614"/>
      <c r="AK149" s="614"/>
      <c r="AL149" s="614"/>
      <c r="AM149" s="615"/>
      <c r="AO149" s="8"/>
      <c r="AP149" s="8"/>
      <c r="AV149" s="70"/>
    </row>
    <row r="150" spans="1:54" s="7" customFormat="1" ht="27" customHeight="1" x14ac:dyDescent="0.35">
      <c r="A150" s="616" t="s">
        <v>113</v>
      </c>
      <c r="B150" s="617"/>
      <c r="C150" s="618"/>
      <c r="D150" s="619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20"/>
      <c r="AB150" s="620"/>
      <c r="AC150" s="620"/>
      <c r="AD150" s="620"/>
      <c r="AE150" s="620"/>
      <c r="AF150" s="620"/>
      <c r="AG150" s="620"/>
      <c r="AH150" s="620"/>
      <c r="AI150" s="620"/>
      <c r="AJ150" s="620"/>
      <c r="AK150" s="620"/>
      <c r="AL150" s="620"/>
      <c r="AM150" s="621"/>
      <c r="AO150" s="8"/>
      <c r="AP150" s="8"/>
      <c r="AV150" s="70"/>
    </row>
    <row r="151" spans="1:54" s="7" customFormat="1" ht="27" customHeight="1" x14ac:dyDescent="0.35">
      <c r="A151" s="616" t="s">
        <v>114</v>
      </c>
      <c r="B151" s="617"/>
      <c r="C151" s="618"/>
      <c r="D151" s="622">
        <v>46112</v>
      </c>
      <c r="E151" s="460">
        <v>46112</v>
      </c>
      <c r="F151" s="460">
        <v>46112</v>
      </c>
      <c r="G151" s="460">
        <v>46112</v>
      </c>
      <c r="H151" s="460">
        <v>46112</v>
      </c>
      <c r="I151" s="460">
        <v>46112</v>
      </c>
      <c r="J151" s="460">
        <v>46112</v>
      </c>
      <c r="K151" s="460">
        <v>46112</v>
      </c>
      <c r="L151" s="460">
        <v>46112</v>
      </c>
      <c r="M151" s="460">
        <v>46112</v>
      </c>
      <c r="N151" s="460">
        <v>46112</v>
      </c>
      <c r="O151" s="460">
        <v>46112</v>
      </c>
      <c r="P151" s="460">
        <v>46112</v>
      </c>
      <c r="Q151" s="460">
        <v>46112</v>
      </c>
      <c r="R151" s="460">
        <v>46112</v>
      </c>
      <c r="S151" s="460">
        <v>46112</v>
      </c>
      <c r="T151" s="460">
        <v>46112</v>
      </c>
      <c r="U151" s="460">
        <v>46112</v>
      </c>
      <c r="V151" s="460">
        <v>46112</v>
      </c>
      <c r="W151" s="460">
        <v>46112</v>
      </c>
      <c r="X151" s="460">
        <v>46112</v>
      </c>
      <c r="Y151" s="460">
        <v>46112</v>
      </c>
      <c r="Z151" s="460">
        <v>46112</v>
      </c>
      <c r="AA151" s="460">
        <v>46112</v>
      </c>
      <c r="AB151" s="460">
        <v>46112</v>
      </c>
      <c r="AC151" s="460">
        <v>46112</v>
      </c>
      <c r="AD151" s="460">
        <v>46112</v>
      </c>
      <c r="AE151" s="460">
        <v>46112</v>
      </c>
      <c r="AF151" s="460">
        <v>46112</v>
      </c>
      <c r="AG151" s="460">
        <v>46112</v>
      </c>
      <c r="AH151" s="460">
        <v>46112</v>
      </c>
      <c r="AI151" s="460">
        <v>46112</v>
      </c>
      <c r="AJ151" s="460">
        <v>46112</v>
      </c>
      <c r="AK151" s="460">
        <v>46112</v>
      </c>
      <c r="AL151" s="460">
        <v>46112</v>
      </c>
      <c r="AM151" s="623">
        <v>46112</v>
      </c>
      <c r="AO151" s="8"/>
      <c r="AP151" s="8"/>
      <c r="AV151" s="70"/>
    </row>
    <row r="152" spans="1:54" s="7" customFormat="1" x14ac:dyDescent="0.35">
      <c r="A152" s="616"/>
      <c r="B152" s="617"/>
      <c r="C152" s="618"/>
      <c r="D152" s="641"/>
      <c r="E152" s="642"/>
      <c r="F152" s="642"/>
      <c r="G152" s="642"/>
      <c r="H152" s="642"/>
      <c r="I152" s="642"/>
      <c r="J152" s="642"/>
      <c r="K152" s="642"/>
      <c r="L152" s="642"/>
      <c r="M152" s="642"/>
      <c r="N152" s="642"/>
      <c r="O152" s="642"/>
      <c r="P152" s="642"/>
      <c r="Q152" s="642"/>
      <c r="R152" s="642"/>
      <c r="S152" s="642"/>
      <c r="T152" s="642"/>
      <c r="U152" s="642"/>
      <c r="V152" s="642"/>
      <c r="W152" s="642"/>
      <c r="X152" s="642"/>
      <c r="Y152" s="642"/>
      <c r="Z152" s="642"/>
      <c r="AA152" s="642"/>
      <c r="AB152" s="642"/>
      <c r="AC152" s="642"/>
      <c r="AD152" s="642"/>
      <c r="AE152" s="642"/>
      <c r="AF152" s="642"/>
      <c r="AG152" s="642"/>
      <c r="AH152" s="642"/>
      <c r="AI152" s="642"/>
      <c r="AJ152" s="642"/>
      <c r="AK152" s="642"/>
      <c r="AL152" s="642"/>
      <c r="AM152" s="643"/>
      <c r="AO152" s="8"/>
      <c r="AP152" s="8"/>
      <c r="AV152" s="70"/>
    </row>
    <row r="153" spans="1:54" s="7" customFormat="1" ht="27" customHeight="1" x14ac:dyDescent="0.35">
      <c r="A153" s="616" t="s">
        <v>115</v>
      </c>
      <c r="B153" s="617"/>
      <c r="C153" s="618"/>
      <c r="D153" s="644" t="s">
        <v>116</v>
      </c>
      <c r="E153" s="645"/>
      <c r="F153" s="645"/>
      <c r="G153" s="645"/>
      <c r="H153" s="645"/>
      <c r="I153" s="645"/>
      <c r="J153" s="645"/>
      <c r="K153" s="645"/>
      <c r="L153" s="645"/>
      <c r="M153" s="645"/>
      <c r="N153" s="645"/>
      <c r="O153" s="645"/>
      <c r="P153" s="645"/>
      <c r="Q153" s="645"/>
      <c r="R153" s="645"/>
      <c r="S153" s="645"/>
      <c r="T153" s="645"/>
      <c r="U153" s="645"/>
      <c r="V153" s="645"/>
      <c r="W153" s="645"/>
      <c r="X153" s="645"/>
      <c r="Y153" s="645"/>
      <c r="Z153" s="645"/>
      <c r="AA153" s="645"/>
      <c r="AB153" s="645"/>
      <c r="AC153" s="645"/>
      <c r="AD153" s="645"/>
      <c r="AE153" s="645"/>
      <c r="AF153" s="645"/>
      <c r="AG153" s="645"/>
      <c r="AH153" s="645"/>
      <c r="AI153" s="645"/>
      <c r="AJ153" s="645"/>
      <c r="AK153" s="645"/>
      <c r="AL153" s="645"/>
      <c r="AM153" s="646"/>
      <c r="AO153" s="8"/>
      <c r="AP153" s="8"/>
      <c r="AV153" s="70"/>
    </row>
    <row r="154" spans="1:54" s="7" customFormat="1" ht="27" customHeight="1" x14ac:dyDescent="0.35">
      <c r="A154" s="616" t="s">
        <v>113</v>
      </c>
      <c r="B154" s="617"/>
      <c r="C154" s="618"/>
      <c r="D154" s="619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620"/>
      <c r="AB154" s="620"/>
      <c r="AC154" s="620"/>
      <c r="AD154" s="620"/>
      <c r="AE154" s="620"/>
      <c r="AF154" s="620"/>
      <c r="AG154" s="620"/>
      <c r="AH154" s="620"/>
      <c r="AI154" s="620"/>
      <c r="AJ154" s="620"/>
      <c r="AK154" s="620"/>
      <c r="AL154" s="620"/>
      <c r="AM154" s="621"/>
      <c r="AO154" s="8"/>
      <c r="AP154" s="8"/>
      <c r="AV154" s="70"/>
    </row>
    <row r="155" spans="1:54" s="7" customFormat="1" ht="27" customHeight="1" thickBot="1" x14ac:dyDescent="0.4">
      <c r="A155" s="635" t="s">
        <v>117</v>
      </c>
      <c r="B155" s="636"/>
      <c r="C155" s="637"/>
      <c r="D155" s="638">
        <v>46112</v>
      </c>
      <c r="E155" s="639">
        <v>46112</v>
      </c>
      <c r="F155" s="639">
        <v>46112</v>
      </c>
      <c r="G155" s="639">
        <v>46112</v>
      </c>
      <c r="H155" s="639">
        <v>46112</v>
      </c>
      <c r="I155" s="639">
        <v>46112</v>
      </c>
      <c r="J155" s="639">
        <v>46112</v>
      </c>
      <c r="K155" s="639">
        <v>46112</v>
      </c>
      <c r="L155" s="639">
        <v>46112</v>
      </c>
      <c r="M155" s="639">
        <v>46112</v>
      </c>
      <c r="N155" s="639">
        <v>46112</v>
      </c>
      <c r="O155" s="639">
        <v>46112</v>
      </c>
      <c r="P155" s="639">
        <v>46112</v>
      </c>
      <c r="Q155" s="639">
        <v>46112</v>
      </c>
      <c r="R155" s="639">
        <v>46112</v>
      </c>
      <c r="S155" s="639">
        <v>46112</v>
      </c>
      <c r="T155" s="639">
        <v>46112</v>
      </c>
      <c r="U155" s="639">
        <v>46112</v>
      </c>
      <c r="V155" s="639">
        <v>46112</v>
      </c>
      <c r="W155" s="639">
        <v>46112</v>
      </c>
      <c r="X155" s="639">
        <v>46112</v>
      </c>
      <c r="Y155" s="639">
        <v>46112</v>
      </c>
      <c r="Z155" s="639">
        <v>46112</v>
      </c>
      <c r="AA155" s="639">
        <v>46112</v>
      </c>
      <c r="AB155" s="639">
        <v>46112</v>
      </c>
      <c r="AC155" s="639">
        <v>46112</v>
      </c>
      <c r="AD155" s="639">
        <v>46112</v>
      </c>
      <c r="AE155" s="639">
        <v>46112</v>
      </c>
      <c r="AF155" s="639">
        <v>46112</v>
      </c>
      <c r="AG155" s="639">
        <v>46112</v>
      </c>
      <c r="AH155" s="639">
        <v>46112</v>
      </c>
      <c r="AI155" s="639">
        <v>46112</v>
      </c>
      <c r="AJ155" s="639">
        <v>46112</v>
      </c>
      <c r="AK155" s="639">
        <v>46112</v>
      </c>
      <c r="AL155" s="639">
        <v>46112</v>
      </c>
      <c r="AM155" s="640">
        <v>46112</v>
      </c>
      <c r="AO155" s="8"/>
      <c r="AP155" s="8"/>
      <c r="AV155" s="70"/>
    </row>
    <row r="156" spans="1:54" s="7" customFormat="1" x14ac:dyDescent="0.35">
      <c r="A156" s="460"/>
      <c r="B156" s="460"/>
      <c r="C156" s="460"/>
      <c r="D156" s="68"/>
      <c r="AO156" s="8"/>
      <c r="AP156" s="8"/>
      <c r="AV156" s="70"/>
    </row>
    <row r="157" spans="1:54" s="7" customFormat="1" x14ac:dyDescent="0.35">
      <c r="A157" s="16"/>
      <c r="AO157" s="8"/>
      <c r="AP157" s="8"/>
      <c r="AV157" s="70"/>
    </row>
    <row r="158" spans="1:54" s="7" customFormat="1" x14ac:dyDescent="0.35">
      <c r="A158" s="16"/>
      <c r="AO158" s="8"/>
      <c r="AP158" s="8"/>
      <c r="AV158" s="70"/>
    </row>
    <row r="159" spans="1:54" s="7" customFormat="1" x14ac:dyDescent="0.35">
      <c r="A159" s="16"/>
      <c r="AO159" s="8"/>
      <c r="AP159" s="8"/>
      <c r="AV159" s="70"/>
    </row>
    <row r="160" spans="1:54" s="7" customFormat="1" x14ac:dyDescent="0.35">
      <c r="A160" s="16"/>
      <c r="AO160" s="8"/>
      <c r="AP160" s="8"/>
      <c r="AV160" s="70"/>
    </row>
    <row r="161" spans="1:48" s="7" customFormat="1" x14ac:dyDescent="0.35">
      <c r="A161" s="16"/>
      <c r="AO161" s="8"/>
      <c r="AP161" s="8"/>
      <c r="AV161" s="70"/>
    </row>
    <row r="162" spans="1:48" s="7" customFormat="1" x14ac:dyDescent="0.35">
      <c r="A162" s="16"/>
      <c r="AO162" s="8"/>
      <c r="AP162" s="8"/>
      <c r="AV162" s="70"/>
    </row>
    <row r="163" spans="1:48" s="7" customFormat="1" x14ac:dyDescent="0.35">
      <c r="A163" s="16"/>
      <c r="AO163" s="8"/>
      <c r="AP163" s="8"/>
      <c r="AV163" s="70"/>
    </row>
    <row r="164" spans="1:48" s="7" customFormat="1" x14ac:dyDescent="0.35">
      <c r="A164" s="16"/>
      <c r="AO164" s="8"/>
      <c r="AP164" s="8"/>
      <c r="AV164" s="70"/>
    </row>
    <row r="165" spans="1:48" s="7" customFormat="1" x14ac:dyDescent="0.35">
      <c r="A165" s="16"/>
      <c r="AO165" s="8"/>
      <c r="AP165" s="8"/>
      <c r="AV165" s="70"/>
    </row>
    <row r="166" spans="1:48" s="7" customFormat="1" x14ac:dyDescent="0.35">
      <c r="A166" s="16"/>
      <c r="AO166" s="8"/>
      <c r="AP166" s="8"/>
      <c r="AV166" s="70"/>
    </row>
    <row r="167" spans="1:48" s="7" customFormat="1" x14ac:dyDescent="0.35">
      <c r="A167" s="16"/>
      <c r="AO167" s="8"/>
      <c r="AP167" s="8"/>
      <c r="AV167" s="70"/>
    </row>
    <row r="168" spans="1:48" s="7" customFormat="1" x14ac:dyDescent="0.35">
      <c r="A168" s="16"/>
      <c r="AO168" s="8"/>
      <c r="AP168" s="8"/>
      <c r="AV168" s="70"/>
    </row>
    <row r="169" spans="1:48" s="7" customFormat="1" x14ac:dyDescent="0.35">
      <c r="A169" s="16"/>
      <c r="AO169" s="8"/>
      <c r="AP169" s="8"/>
      <c r="AV169" s="70"/>
    </row>
    <row r="170" spans="1:48" s="7" customFormat="1" x14ac:dyDescent="0.35">
      <c r="A170" s="16"/>
      <c r="AO170" s="8"/>
      <c r="AP170" s="8"/>
      <c r="AV170" s="70"/>
    </row>
    <row r="171" spans="1:48" s="7" customFormat="1" x14ac:dyDescent="0.35">
      <c r="A171" s="16"/>
      <c r="AO171" s="8"/>
      <c r="AP171" s="8"/>
      <c r="AV171" s="70"/>
    </row>
    <row r="172" spans="1:48" s="7" customFormat="1" x14ac:dyDescent="0.35">
      <c r="A172" s="16"/>
      <c r="AO172" s="8"/>
      <c r="AP172" s="8"/>
      <c r="AV172" s="70"/>
    </row>
    <row r="173" spans="1:48" s="7" customFormat="1" x14ac:dyDescent="0.35">
      <c r="A173" s="16"/>
      <c r="AO173" s="8"/>
      <c r="AP173" s="8"/>
      <c r="AV173" s="70"/>
    </row>
    <row r="174" spans="1:48" s="7" customFormat="1" x14ac:dyDescent="0.35">
      <c r="A174" s="16"/>
      <c r="AO174" s="8"/>
      <c r="AP174" s="8"/>
      <c r="AV174" s="70"/>
    </row>
    <row r="175" spans="1:48" s="7" customFormat="1" x14ac:dyDescent="0.35">
      <c r="A175" s="16"/>
      <c r="AO175" s="8"/>
      <c r="AP175" s="8"/>
      <c r="AV175" s="70"/>
    </row>
    <row r="176" spans="1:48" s="7" customFormat="1" x14ac:dyDescent="0.35">
      <c r="A176" s="16"/>
      <c r="AO176" s="8"/>
      <c r="AP176" s="8"/>
      <c r="AV176" s="70"/>
    </row>
    <row r="177" spans="1:48" s="7" customFormat="1" x14ac:dyDescent="0.35">
      <c r="A177" s="16"/>
      <c r="AO177" s="8"/>
      <c r="AP177" s="8"/>
      <c r="AV177" s="70"/>
    </row>
    <row r="178" spans="1:48" s="7" customFormat="1" x14ac:dyDescent="0.35">
      <c r="A178" s="16"/>
      <c r="AO178" s="8"/>
      <c r="AP178" s="8"/>
      <c r="AV178" s="70"/>
    </row>
    <row r="179" spans="1:48" s="7" customFormat="1" x14ac:dyDescent="0.35">
      <c r="A179" s="16"/>
      <c r="AO179" s="8"/>
      <c r="AP179" s="8"/>
      <c r="AV179" s="70"/>
    </row>
    <row r="180" spans="1:48" s="7" customFormat="1" x14ac:dyDescent="0.35">
      <c r="A180" s="16"/>
      <c r="AO180" s="8"/>
      <c r="AP180" s="8"/>
      <c r="AV180" s="70"/>
    </row>
    <row r="181" spans="1:48" s="7" customFormat="1" x14ac:dyDescent="0.35">
      <c r="A181" s="16"/>
      <c r="AO181" s="8"/>
      <c r="AP181" s="8"/>
      <c r="AV181" s="70"/>
    </row>
    <row r="182" spans="1:48" s="7" customFormat="1" x14ac:dyDescent="0.35">
      <c r="A182" s="16"/>
      <c r="AO182" s="8"/>
      <c r="AP182" s="8"/>
      <c r="AV182" s="70"/>
    </row>
    <row r="183" spans="1:48" s="7" customFormat="1" x14ac:dyDescent="0.35">
      <c r="A183" s="16"/>
      <c r="AO183" s="8"/>
      <c r="AP183" s="8"/>
      <c r="AV183" s="70"/>
    </row>
    <row r="184" spans="1:48" s="7" customFormat="1" x14ac:dyDescent="0.35">
      <c r="A184" s="16"/>
      <c r="AO184" s="8"/>
      <c r="AP184" s="8"/>
      <c r="AV184" s="70"/>
    </row>
    <row r="185" spans="1:48" s="7" customFormat="1" x14ac:dyDescent="0.35">
      <c r="A185" s="16"/>
      <c r="AO185" s="8"/>
      <c r="AP185" s="8"/>
      <c r="AV185" s="70"/>
    </row>
    <row r="186" spans="1:48" s="7" customFormat="1" x14ac:dyDescent="0.35">
      <c r="A186" s="16"/>
      <c r="AO186" s="8"/>
      <c r="AP186" s="8"/>
      <c r="AV186" s="70"/>
    </row>
    <row r="187" spans="1:48" s="7" customFormat="1" x14ac:dyDescent="0.35">
      <c r="A187" s="16"/>
      <c r="AO187" s="8"/>
      <c r="AP187" s="8"/>
      <c r="AV187" s="70"/>
    </row>
    <row r="188" spans="1:48" s="7" customFormat="1" x14ac:dyDescent="0.35">
      <c r="A188" s="16"/>
      <c r="AO188" s="8"/>
      <c r="AP188" s="8"/>
      <c r="AV188" s="70"/>
    </row>
    <row r="189" spans="1:48" s="7" customFormat="1" x14ac:dyDescent="0.35">
      <c r="A189" s="16"/>
      <c r="AO189" s="8"/>
      <c r="AP189" s="8"/>
      <c r="AV189" s="70"/>
    </row>
    <row r="190" spans="1:48" s="7" customFormat="1" x14ac:dyDescent="0.35">
      <c r="A190" s="16"/>
      <c r="AO190" s="8"/>
      <c r="AP190" s="8"/>
      <c r="AV190" s="70"/>
    </row>
    <row r="191" spans="1:48" s="7" customFormat="1" x14ac:dyDescent="0.35">
      <c r="A191" s="16"/>
      <c r="AO191" s="8"/>
      <c r="AP191" s="8"/>
      <c r="AV191" s="70"/>
    </row>
    <row r="192" spans="1:48" x14ac:dyDescent="0.3">
      <c r="A192" s="16"/>
    </row>
    <row r="193" spans="1:1" x14ac:dyDescent="0.3">
      <c r="A193" s="16"/>
    </row>
    <row r="194" spans="1:1" x14ac:dyDescent="0.3">
      <c r="A194" s="16"/>
    </row>
    <row r="195" spans="1:1" x14ac:dyDescent="0.3">
      <c r="A195" s="16"/>
    </row>
    <row r="196" spans="1:1" x14ac:dyDescent="0.3">
      <c r="A196" s="16"/>
    </row>
  </sheetData>
  <sheetProtection algorithmName="SHA-512" hashValue="iWwHw5vjViEnIauUXMsXISzGrzhzBIUQCT2fzNjrFV2A8MxqA8kHnKu8BQr9LONZpYC9GnPeJcl6B0yzxPNmNw==" saltValue="R+LzY95CJ6oCbKSDO43kEQ==" spinCount="100000" sheet="1" formatColumns="0" formatRows="0" insertColumns="0" insertRows="0" insertHyperlinks="0" deleteColumns="0" deleteRows="0" sort="0" autoFilter="0" pivotTables="0"/>
  <protectedRanges>
    <protectedRange algorithmName="SHA-512" hashValue="7FJpRjMClRRlEDaRiv2I45XnJ5nVe6Y81mjOK27+pd76r1+ad5pIvVkVn8vpLooPef4Z+bpcH2bfqg0F/3hsww==" saltValue="Lq5joJryvX0cvidipyTKig==" spinCount="100000" sqref="AI16:AI17" name="Total ore_2_1_1"/>
  </protectedRanges>
  <autoFilter ref="A109:BB151" xr:uid="{44623BCB-289A-4E1B-87AF-F8454ABAA33E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196">
    <mergeCell ref="A156:C156"/>
    <mergeCell ref="B142:C142"/>
    <mergeCell ref="D142:AJ142"/>
    <mergeCell ref="B143:C143"/>
    <mergeCell ref="D143:AJ143"/>
    <mergeCell ref="B144:C144"/>
    <mergeCell ref="D144:AJ144"/>
    <mergeCell ref="B145:C145"/>
    <mergeCell ref="D145:AJ145"/>
    <mergeCell ref="A153:C153"/>
    <mergeCell ref="D153:AM153"/>
    <mergeCell ref="A154:C154"/>
    <mergeCell ref="D154:AM154"/>
    <mergeCell ref="A155:C155"/>
    <mergeCell ref="D155:AM155"/>
    <mergeCell ref="A150:C150"/>
    <mergeCell ref="D150:AM150"/>
    <mergeCell ref="A151:C151"/>
    <mergeCell ref="D151:AM151"/>
    <mergeCell ref="A152:C152"/>
    <mergeCell ref="D152:AM152"/>
    <mergeCell ref="A146:AJ146"/>
    <mergeCell ref="A147:AM148"/>
    <mergeCell ref="A149:C149"/>
    <mergeCell ref="D149:AM149"/>
    <mergeCell ref="B140:C140"/>
    <mergeCell ref="D140:AJ140"/>
    <mergeCell ref="B141:C141"/>
    <mergeCell ref="D141:AJ141"/>
    <mergeCell ref="B137:C137"/>
    <mergeCell ref="D137:AJ137"/>
    <mergeCell ref="B138:C138"/>
    <mergeCell ref="D138:AJ138"/>
    <mergeCell ref="B139:C139"/>
    <mergeCell ref="D139:AJ139"/>
    <mergeCell ref="B134:C134"/>
    <mergeCell ref="D134:AJ134"/>
    <mergeCell ref="B135:C135"/>
    <mergeCell ref="D135:AJ135"/>
    <mergeCell ref="B136:C136"/>
    <mergeCell ref="D136:AJ136"/>
    <mergeCell ref="B131:C131"/>
    <mergeCell ref="D131:AJ131"/>
    <mergeCell ref="B132:C132"/>
    <mergeCell ref="D132:AJ132"/>
    <mergeCell ref="B133:C133"/>
    <mergeCell ref="D133:AJ133"/>
    <mergeCell ref="B128:C128"/>
    <mergeCell ref="D128:AJ128"/>
    <mergeCell ref="B129:C129"/>
    <mergeCell ref="D129:AJ129"/>
    <mergeCell ref="B130:C130"/>
    <mergeCell ref="D130:AJ130"/>
    <mergeCell ref="B125:C125"/>
    <mergeCell ref="D125:AJ125"/>
    <mergeCell ref="B126:C126"/>
    <mergeCell ref="D126:AJ126"/>
    <mergeCell ref="B127:C127"/>
    <mergeCell ref="D127:AJ127"/>
    <mergeCell ref="B123:C123"/>
    <mergeCell ref="D123:AJ123"/>
    <mergeCell ref="B124:C124"/>
    <mergeCell ref="D124:AJ124"/>
    <mergeCell ref="B120:C120"/>
    <mergeCell ref="D120:AJ120"/>
    <mergeCell ref="B121:C121"/>
    <mergeCell ref="D121:AJ121"/>
    <mergeCell ref="B122:C122"/>
    <mergeCell ref="D122:AJ122"/>
    <mergeCell ref="B117:C117"/>
    <mergeCell ref="D117:AJ117"/>
    <mergeCell ref="B118:C118"/>
    <mergeCell ref="D118:AJ118"/>
    <mergeCell ref="B119:C119"/>
    <mergeCell ref="D119:AJ119"/>
    <mergeCell ref="G113:AM113"/>
    <mergeCell ref="B114:C114"/>
    <mergeCell ref="D114:AJ114"/>
    <mergeCell ref="B115:C115"/>
    <mergeCell ref="D115:AJ115"/>
    <mergeCell ref="B116:C116"/>
    <mergeCell ref="D116:AJ116"/>
    <mergeCell ref="A109:F109"/>
    <mergeCell ref="G109:AM109"/>
    <mergeCell ref="AN109:AN113"/>
    <mergeCell ref="A110:F110"/>
    <mergeCell ref="G110:AM110"/>
    <mergeCell ref="A111:F111"/>
    <mergeCell ref="G111:AM111"/>
    <mergeCell ref="A112:F112"/>
    <mergeCell ref="G112:AM112"/>
    <mergeCell ref="A113:F113"/>
    <mergeCell ref="B71:C71"/>
    <mergeCell ref="D71:E71"/>
    <mergeCell ref="F71:G71"/>
    <mergeCell ref="H71:I71"/>
    <mergeCell ref="J71:K71"/>
    <mergeCell ref="L71:M71"/>
    <mergeCell ref="A70:A71"/>
    <mergeCell ref="B70:C70"/>
    <mergeCell ref="D70:E70"/>
    <mergeCell ref="F70:G70"/>
    <mergeCell ref="H70:I70"/>
    <mergeCell ref="J70:K70"/>
    <mergeCell ref="F65:AF65"/>
    <mergeCell ref="AG65:AL65"/>
    <mergeCell ref="F66:AF66"/>
    <mergeCell ref="AG66:AL66"/>
    <mergeCell ref="F67:AF67"/>
    <mergeCell ref="AG67:AL67"/>
    <mergeCell ref="F68:AF68"/>
    <mergeCell ref="AG68:AL68"/>
    <mergeCell ref="L70:M70"/>
    <mergeCell ref="F63:AF63"/>
    <mergeCell ref="AG63:AL63"/>
    <mergeCell ref="F64:AF64"/>
    <mergeCell ref="AG64:AL64"/>
    <mergeCell ref="F60:AF60"/>
    <mergeCell ref="AG60:AL60"/>
    <mergeCell ref="F61:AF61"/>
    <mergeCell ref="AG61:AL61"/>
    <mergeCell ref="F62:AF62"/>
    <mergeCell ref="AG62:AL62"/>
    <mergeCell ref="F57:AF57"/>
    <mergeCell ref="AG57:AL57"/>
    <mergeCell ref="F58:AF58"/>
    <mergeCell ref="AG58:AL58"/>
    <mergeCell ref="F59:AF59"/>
    <mergeCell ref="AG59:AL59"/>
    <mergeCell ref="F54:AF54"/>
    <mergeCell ref="AG54:AL54"/>
    <mergeCell ref="F55:AF55"/>
    <mergeCell ref="AG55:AL55"/>
    <mergeCell ref="F56:AF56"/>
    <mergeCell ref="AG56:AL56"/>
    <mergeCell ref="F51:AF51"/>
    <mergeCell ref="AG51:AL51"/>
    <mergeCell ref="F52:AF52"/>
    <mergeCell ref="AG52:AL52"/>
    <mergeCell ref="F53:AF53"/>
    <mergeCell ref="AG53:AL53"/>
    <mergeCell ref="F48:AF48"/>
    <mergeCell ref="AG48:AL48"/>
    <mergeCell ref="F49:AF49"/>
    <mergeCell ref="AG49:AL49"/>
    <mergeCell ref="F50:AF50"/>
    <mergeCell ref="AG50:AL50"/>
    <mergeCell ref="F45:AF45"/>
    <mergeCell ref="AG45:AL45"/>
    <mergeCell ref="F46:AF46"/>
    <mergeCell ref="AG46:AL46"/>
    <mergeCell ref="F47:AF47"/>
    <mergeCell ref="AG47:AL47"/>
    <mergeCell ref="F42:AF42"/>
    <mergeCell ref="AG42:AL42"/>
    <mergeCell ref="F43:AF43"/>
    <mergeCell ref="AG43:AL43"/>
    <mergeCell ref="F44:AF44"/>
    <mergeCell ref="AG44:AL44"/>
    <mergeCell ref="F39:AF39"/>
    <mergeCell ref="AG39:AL39"/>
    <mergeCell ref="F40:AF40"/>
    <mergeCell ref="AG40:AL40"/>
    <mergeCell ref="F41:AF41"/>
    <mergeCell ref="AG41:AL41"/>
    <mergeCell ref="B37:C37"/>
    <mergeCell ref="D37:E37"/>
    <mergeCell ref="F37:AF37"/>
    <mergeCell ref="AG37:AL37"/>
    <mergeCell ref="F38:AF38"/>
    <mergeCell ref="AG38:AL38"/>
    <mergeCell ref="I28:O28"/>
    <mergeCell ref="P28:V28"/>
    <mergeCell ref="A33:K33"/>
    <mergeCell ref="R33:Y33"/>
    <mergeCell ref="A34:K34"/>
    <mergeCell ref="A35:K35"/>
    <mergeCell ref="I25:O25"/>
    <mergeCell ref="P25:V25"/>
    <mergeCell ref="I26:O26"/>
    <mergeCell ref="P26:V26"/>
    <mergeCell ref="I27:O27"/>
    <mergeCell ref="P27:V27"/>
    <mergeCell ref="AJ12:AJ14"/>
    <mergeCell ref="AK12:AK14"/>
    <mergeCell ref="AL12:AL14"/>
    <mergeCell ref="I20:O20"/>
    <mergeCell ref="P20:V20"/>
    <mergeCell ref="I22:O22"/>
    <mergeCell ref="P22:V22"/>
    <mergeCell ref="B8:AF10"/>
    <mergeCell ref="B11:AF11"/>
    <mergeCell ref="A12:AF12"/>
    <mergeCell ref="AG12:AG14"/>
    <mergeCell ref="AH12:AH14"/>
    <mergeCell ref="AI12:AI14"/>
  </mergeCells>
  <dataValidations count="8">
    <dataValidation type="list" allowBlank="1" showInputMessage="1" showErrorMessage="1" sqref="C38:C68" xr:uid="{8500C118-FFF1-4FEA-91F4-A7B5B3650386}">
      <formula1>"WP1,WP2,WP3,WP4"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5:AT117" xr:uid="{7FE87D44-A552-4EBD-8677-D225BB337D82}">
      <formula1>AND(AQ118="Nu", OR(AQ118="Da", AND(AQ118="Da", AR118&lt;&gt;"")), AS118&lt;&gt;"")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5:AX117" xr:uid="{7ED5920B-83C6-4C2D-B292-5492C0CBD599}">
      <formula1>AW118&lt;&gt;""</formula1>
    </dataValidation>
    <dataValidation type="custom" allowBlank="1" showInputMessage="1" showErrorMessage="1" errorTitle="Eroare Validare Livrabil" error="Categoria livrabilului (AU) este obligatoriu." sqref="AV115:AV117" xr:uid="{51E62AE5-57C8-467C-9576-60A298ABBCF2}">
      <formula1>AU118&lt;&gt;""</formula1>
    </dataValidation>
    <dataValidation type="custom" allowBlank="1" showInputMessage="1" showErrorMessage="1" errorTitle="Eroare Validare Livrabil" error="Categoria livrabilului (AU) este obligatoriu." sqref="AX120" xr:uid="{DB1E8033-28CE-44FD-94EE-0CD79E678660}">
      <formula1>AU121&lt;&gt;""</formula1>
    </dataValidation>
    <dataValidation type="custom" allowBlank="1" showInputMessage="1" showErrorMessage="1" errorTitle="Eroare Validare Livrabil" error="Categoria livrabilului (AU) este obligatoriu." sqref="AV118 AV120:AV145" xr:uid="{93DE430E-F7ED-4E24-81BF-84BE8BCE0DB9}">
      <formula1>AU120&lt;&gt;""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8:AT145" xr:uid="{87CD97D5-B376-4C2B-9989-8018B149F424}">
      <formula1>AND(AQ120="Nu", OR(AQ120="Da", AND(AQ120="Da", AR120&lt;&gt;"")), AS120&lt;&gt;"")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8:AX145" xr:uid="{EDCA3D2E-89D7-4F38-BC8A-2B3927E5796E}">
      <formula1>AW120&lt;&gt;""</formula1>
    </dataValidation>
  </dataValidations>
  <hyperlinks>
    <hyperlink ref="AV127" r:id="rId1" xr:uid="{671AAB58-CAC8-4BC5-9472-A388525325EA}"/>
    <hyperlink ref="AV134" r:id="rId2" xr:uid="{F09CFDDC-2035-4F3F-AD54-7C7C47A8F7B5}"/>
    <hyperlink ref="AV140" r:id="rId3" xr:uid="{2BFBFEA0-11B6-41D9-922B-AF14CCBD1DC7}"/>
    <hyperlink ref="AV139" r:id="rId4" xr:uid="{C2D5E84E-94F5-408F-8E67-2DEDCFC36B4B}"/>
    <hyperlink ref="AV144" r:id="rId5" xr:uid="{06C0FC9D-03A4-47D3-A564-5D540767F289}"/>
    <hyperlink ref="AV141" r:id="rId6" xr:uid="{F4B303A9-2E7A-4163-BE3B-B244A3DAFB92}"/>
    <hyperlink ref="BA123" r:id="rId7" xr:uid="{334171E5-B60F-438D-AC35-9B0C630257BB}"/>
    <hyperlink ref="BA117" r:id="rId8" xr:uid="{B3DAEC14-67F6-4DC5-B53B-989DBD62F19E}"/>
    <hyperlink ref="AV116" r:id="rId9" xr:uid="{E42335A2-2BAC-4FDB-89BC-E942719A799C}"/>
    <hyperlink ref="AV145" r:id="rId10" xr:uid="{3CD5E0EA-7B71-45EF-A89A-0BDD661A80B9}"/>
    <hyperlink ref="AV131" r:id="rId11" display="https://confederatiaconcordia.sharepoint.com/:b:/s/PEO2024-2028/IQAo2cndUEieSpD27l_eNJi0Ab0-1pux2Kn33YKU-UQGwZM?e=sCcrhB" xr:uid="{18B36980-C13A-49B4-8E79-DCB160353949}"/>
  </hyperlinks>
  <pageMargins left="0.25" right="0.25" top="0.75" bottom="0.75" header="0.3" footer="0.3"/>
  <pageSetup paperSize="9" scale="13" fitToHeight="0" orientation="portrait" r:id="rId12"/>
  <drawing r:id="rId1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CF39EA7-9784-44EF-8979-1BBD19B24A5E}">
          <x14:formula1>
            <xm:f>Activitati!$A$1</xm:f>
          </x14:formula1>
          <xm:sqref>B115:C145</xm:sqref>
        </x14:dataValidation>
        <x14:dataValidation type="list" allowBlank="1" showInputMessage="1" showErrorMessage="1" xr:uid="{2EF02919-29BB-4595-873C-E4B01408FA07}">
          <x14:formula1>
            <xm:f>Activitati!$A$2:$A$5</xm:f>
          </x14:formula1>
          <xm:sqref>D115:AJ145</xm:sqref>
        </x14:dataValidation>
        <x14:dataValidation type="list" allowBlank="1" showInputMessage="1" showErrorMessage="1" xr:uid="{79CE14D6-9421-407A-9EF3-AE330DFBFAEA}">
          <x14:formula1>
            <xm:f>Activitati!$B$2:$B$3</xm:f>
          </x14:formula1>
          <xm:sqref>AQ115:AQ145</xm:sqref>
        </x14:dataValidation>
        <x14:dataValidation type="list" allowBlank="1" showInputMessage="1" showErrorMessage="1" xr:uid="{88332405-36AA-4664-A36D-81D54C2B4A1D}">
          <x14:formula1>
            <xm:f>Activitati!$C$2:$C$3</xm:f>
          </x14:formula1>
          <xm:sqref>AS115:AS145</xm:sqref>
        </x14:dataValidation>
        <x14:dataValidation type="list" allowBlank="1" showInputMessage="1" showErrorMessage="1" xr:uid="{6AB702C7-24CA-4A6D-B94E-362CE3C71156}">
          <x14:formula1>
            <xm:f>Activitati!$D$2:$D$11</xm:f>
          </x14:formula1>
          <xm:sqref>AY115:AY145 AW115:AW145 AU115:AU145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CD7B-9A86-4AF8-A5FE-119427820586}">
  <sheetPr>
    <pageSetUpPr fitToPage="1"/>
  </sheetPr>
  <dimension ref="A1:BB195"/>
  <sheetViews>
    <sheetView showGridLines="0" topLeftCell="A113" zoomScale="53" zoomScaleNormal="100" workbookViewId="0">
      <selection activeCell="D115" sqref="D115:AJ115"/>
    </sheetView>
  </sheetViews>
  <sheetFormatPr defaultColWidth="8.7265625" defaultRowHeight="13" x14ac:dyDescent="0.3"/>
  <cols>
    <col min="1" max="1" width="30.453125" style="4" customWidth="1"/>
    <col min="2" max="2" width="3.453125" style="4" customWidth="1"/>
    <col min="3" max="3" width="4.453125" style="4" customWidth="1"/>
    <col min="4" max="32" width="3.453125" style="4" customWidth="1"/>
    <col min="33" max="34" width="7.453125" style="4" customWidth="1"/>
    <col min="35" max="35" width="6.54296875" style="4" customWidth="1"/>
    <col min="36" max="36" width="6.453125" style="4" customWidth="1"/>
    <col min="37" max="37" width="7.54296875" style="4" customWidth="1"/>
    <col min="38" max="38" width="7.7265625" style="4" customWidth="1"/>
    <col min="39" max="39" width="10.7265625" style="4" customWidth="1"/>
    <col min="40" max="40" width="79.7265625" style="4" customWidth="1"/>
    <col min="41" max="41" width="25.26953125" style="5" customWidth="1"/>
    <col min="42" max="42" width="19" style="5" customWidth="1"/>
    <col min="43" max="43" width="27.7265625" style="4" customWidth="1"/>
    <col min="44" max="44" width="33" style="4" customWidth="1"/>
    <col min="45" max="45" width="44.26953125" style="4" customWidth="1"/>
    <col min="46" max="46" width="47.7265625" style="4" customWidth="1"/>
    <col min="47" max="47" width="23.26953125" style="4" customWidth="1"/>
    <col min="48" max="48" width="68.453125" style="55" customWidth="1"/>
    <col min="49" max="49" width="23.26953125" style="4" customWidth="1"/>
    <col min="50" max="50" width="53.7265625" style="4" customWidth="1"/>
    <col min="51" max="51" width="19.7265625" style="4" customWidth="1"/>
    <col min="52" max="52" width="18.26953125" style="4" customWidth="1"/>
    <col min="53" max="53" width="33.7265625" style="4" customWidth="1"/>
    <col min="54" max="54" width="34.7265625" style="4" customWidth="1"/>
    <col min="55" max="16384" width="8.7265625" style="4"/>
  </cols>
  <sheetData>
    <row r="1" spans="1:39" ht="13.5" thickBot="1" x14ac:dyDescent="0.35">
      <c r="A1" s="32" t="s">
        <v>0</v>
      </c>
      <c r="B1" s="33"/>
    </row>
    <row r="2" spans="1:39" ht="13.5" thickBot="1" x14ac:dyDescent="0.35">
      <c r="A2" s="34" t="s">
        <v>1</v>
      </c>
      <c r="B2" s="35"/>
    </row>
    <row r="3" spans="1:39" ht="13.5" thickBot="1" x14ac:dyDescent="0.35">
      <c r="A3" s="34" t="s">
        <v>2</v>
      </c>
      <c r="B3" s="36" t="s">
        <v>3</v>
      </c>
    </row>
    <row r="4" spans="1:39" ht="13.5" thickBot="1" x14ac:dyDescent="0.35">
      <c r="A4" s="34" t="s">
        <v>4</v>
      </c>
      <c r="B4" s="36" t="s">
        <v>5</v>
      </c>
    </row>
    <row r="5" spans="1:39" ht="13.5" thickBot="1" x14ac:dyDescent="0.35">
      <c r="A5" s="37" t="s">
        <v>6</v>
      </c>
      <c r="B5" s="36" t="s">
        <v>7</v>
      </c>
    </row>
    <row r="6" spans="1:39" ht="13.5" thickBot="1" x14ac:dyDescent="0.35">
      <c r="A6" s="37" t="s">
        <v>8</v>
      </c>
      <c r="B6" s="38">
        <v>8</v>
      </c>
    </row>
    <row r="7" spans="1:39" ht="13.5" thickBot="1" x14ac:dyDescent="0.35">
      <c r="A7" s="39"/>
      <c r="B7" s="40"/>
    </row>
    <row r="8" spans="1:39" ht="20.149999999999999" customHeight="1" x14ac:dyDescent="0.3">
      <c r="B8" s="564" t="s">
        <v>9</v>
      </c>
      <c r="C8" s="565"/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6"/>
    </row>
    <row r="9" spans="1:39" ht="20.149999999999999" customHeight="1" x14ac:dyDescent="0.3">
      <c r="B9" s="567"/>
      <c r="C9" s="568"/>
      <c r="D9" s="568"/>
      <c r="E9" s="568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  <c r="AA9" s="568"/>
      <c r="AB9" s="568"/>
      <c r="AC9" s="568"/>
      <c r="AD9" s="568"/>
      <c r="AE9" s="568"/>
      <c r="AF9" s="569"/>
    </row>
    <row r="10" spans="1:39" ht="20.149999999999999" customHeight="1" thickBot="1" x14ac:dyDescent="0.35">
      <c r="B10" s="570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D10" s="571"/>
      <c r="AE10" s="571"/>
      <c r="AF10" s="572"/>
    </row>
    <row r="11" spans="1:39" ht="15" thickBot="1" x14ac:dyDescent="0.4">
      <c r="B11" s="573" t="s">
        <v>10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41"/>
      <c r="AH11" s="42"/>
      <c r="AI11" s="41"/>
      <c r="AJ11" s="42"/>
      <c r="AK11" s="41"/>
      <c r="AL11" s="42"/>
      <c r="AM11" s="41"/>
    </row>
    <row r="12" spans="1:39" ht="13.5" thickBot="1" x14ac:dyDescent="0.35">
      <c r="A12" s="574" t="s">
        <v>180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6" t="s">
        <v>12</v>
      </c>
      <c r="AH12" s="558" t="s">
        <v>13</v>
      </c>
      <c r="AI12" s="558" t="s">
        <v>14</v>
      </c>
      <c r="AJ12" s="558" t="s">
        <v>15</v>
      </c>
      <c r="AK12" s="558" t="s">
        <v>16</v>
      </c>
      <c r="AL12" s="561" t="s">
        <v>17</v>
      </c>
      <c r="AM12" s="43"/>
    </row>
    <row r="13" spans="1:39" ht="17.149999999999999" customHeight="1" thickBot="1" x14ac:dyDescent="0.35">
      <c r="A13" s="44" t="s">
        <v>18</v>
      </c>
      <c r="B13" s="395">
        <v>1</v>
      </c>
      <c r="C13" s="153">
        <v>2</v>
      </c>
      <c r="D13" s="153">
        <v>3</v>
      </c>
      <c r="E13" s="47">
        <v>4</v>
      </c>
      <c r="F13" s="47">
        <v>5</v>
      </c>
      <c r="G13" s="153">
        <v>6</v>
      </c>
      <c r="H13" s="153">
        <v>7</v>
      </c>
      <c r="I13" s="153">
        <v>8</v>
      </c>
      <c r="J13" s="153">
        <v>9</v>
      </c>
      <c r="K13" s="46">
        <v>10</v>
      </c>
      <c r="L13" s="47">
        <v>11</v>
      </c>
      <c r="M13" s="47">
        <v>12</v>
      </c>
      <c r="N13" s="46">
        <v>13</v>
      </c>
      <c r="O13" s="153">
        <v>14</v>
      </c>
      <c r="P13" s="153">
        <v>15</v>
      </c>
      <c r="Q13" s="153">
        <v>16</v>
      </c>
      <c r="R13" s="153">
        <v>17</v>
      </c>
      <c r="S13" s="47">
        <v>18</v>
      </c>
      <c r="T13" s="47">
        <v>19</v>
      </c>
      <c r="U13" s="153">
        <v>20</v>
      </c>
      <c r="V13" s="153">
        <v>21</v>
      </c>
      <c r="W13" s="153">
        <v>22</v>
      </c>
      <c r="X13" s="153">
        <v>23</v>
      </c>
      <c r="Y13" s="153">
        <v>24</v>
      </c>
      <c r="Z13" s="47">
        <v>25</v>
      </c>
      <c r="AA13" s="47">
        <v>26</v>
      </c>
      <c r="AB13" s="153">
        <v>27</v>
      </c>
      <c r="AC13" s="153">
        <v>28</v>
      </c>
      <c r="AD13" s="153">
        <v>29</v>
      </c>
      <c r="AE13" s="153">
        <v>30</v>
      </c>
      <c r="AF13" s="212"/>
      <c r="AG13" s="577"/>
      <c r="AH13" s="579"/>
      <c r="AI13" s="559"/>
      <c r="AJ13" s="559"/>
      <c r="AK13" s="559"/>
      <c r="AL13" s="562"/>
      <c r="AM13" s="48"/>
    </row>
    <row r="14" spans="1:39" ht="20.149999999999999" customHeight="1" thickBot="1" x14ac:dyDescent="0.35">
      <c r="A14" s="49" t="s">
        <v>19</v>
      </c>
      <c r="B14" s="51" t="s">
        <v>26</v>
      </c>
      <c r="C14" s="51" t="s">
        <v>20</v>
      </c>
      <c r="D14" s="51" t="s">
        <v>21</v>
      </c>
      <c r="E14" s="52" t="s">
        <v>22</v>
      </c>
      <c r="F14" s="52" t="s">
        <v>23</v>
      </c>
      <c r="G14" s="51" t="s">
        <v>24</v>
      </c>
      <c r="H14" s="51" t="s">
        <v>25</v>
      </c>
      <c r="I14" s="51" t="s">
        <v>26</v>
      </c>
      <c r="J14" s="51" t="s">
        <v>20</v>
      </c>
      <c r="K14" s="50" t="s">
        <v>21</v>
      </c>
      <c r="L14" s="52" t="s">
        <v>22</v>
      </c>
      <c r="M14" s="52" t="s">
        <v>23</v>
      </c>
      <c r="N14" s="50" t="s">
        <v>24</v>
      </c>
      <c r="O14" s="51" t="s">
        <v>25</v>
      </c>
      <c r="P14" s="51" t="s">
        <v>26</v>
      </c>
      <c r="Q14" s="51" t="s">
        <v>20</v>
      </c>
      <c r="R14" s="51" t="s">
        <v>21</v>
      </c>
      <c r="S14" s="52" t="s">
        <v>22</v>
      </c>
      <c r="T14" s="52" t="s">
        <v>23</v>
      </c>
      <c r="U14" s="51" t="s">
        <v>24</v>
      </c>
      <c r="V14" s="51" t="s">
        <v>25</v>
      </c>
      <c r="W14" s="51" t="s">
        <v>26</v>
      </c>
      <c r="X14" s="51" t="s">
        <v>20</v>
      </c>
      <c r="Y14" s="51" t="s">
        <v>21</v>
      </c>
      <c r="Z14" s="52" t="s">
        <v>22</v>
      </c>
      <c r="AA14" s="52" t="s">
        <v>23</v>
      </c>
      <c r="AB14" s="51" t="s">
        <v>24</v>
      </c>
      <c r="AC14" s="51" t="s">
        <v>25</v>
      </c>
      <c r="AD14" s="51" t="s">
        <v>26</v>
      </c>
      <c r="AE14" s="51" t="s">
        <v>20</v>
      </c>
      <c r="AF14" s="214"/>
      <c r="AG14" s="578"/>
      <c r="AH14" s="580"/>
      <c r="AI14" s="560"/>
      <c r="AJ14" s="560"/>
      <c r="AK14" s="560"/>
      <c r="AL14" s="563"/>
      <c r="AM14" s="48"/>
    </row>
    <row r="15" spans="1:39" ht="20.149999999999999" customHeight="1" x14ac:dyDescent="0.3">
      <c r="A15" s="120" t="s">
        <v>27</v>
      </c>
      <c r="B15" s="396">
        <f>8-SUM(B16:B17)</f>
        <v>0</v>
      </c>
      <c r="C15" s="154">
        <f t="shared" ref="C15:D15" si="0">8-SUM(C16:C17)</f>
        <v>0</v>
      </c>
      <c r="D15" s="154">
        <f t="shared" si="0"/>
        <v>0</v>
      </c>
      <c r="E15" s="78"/>
      <c r="F15" s="78"/>
      <c r="G15" s="154">
        <f t="shared" ref="G15:J15" si="1">8-SUM(G16:G17)</f>
        <v>0</v>
      </c>
      <c r="H15" s="154">
        <f t="shared" si="1"/>
        <v>0</v>
      </c>
      <c r="I15" s="154">
        <f t="shared" si="1"/>
        <v>0</v>
      </c>
      <c r="J15" s="154">
        <f t="shared" si="1"/>
        <v>0</v>
      </c>
      <c r="K15" s="79"/>
      <c r="L15" s="78"/>
      <c r="M15" s="78"/>
      <c r="N15" s="79"/>
      <c r="O15" s="154" t="s">
        <v>5</v>
      </c>
      <c r="P15" s="154" t="s">
        <v>5</v>
      </c>
      <c r="Q15" s="154" t="s">
        <v>5</v>
      </c>
      <c r="R15" s="154" t="s">
        <v>5</v>
      </c>
      <c r="S15" s="78"/>
      <c r="T15" s="78"/>
      <c r="U15" s="154">
        <f t="shared" ref="U15:Y15" si="2">8-SUM(U16:U17)</f>
        <v>0</v>
      </c>
      <c r="V15" s="154">
        <f t="shared" si="2"/>
        <v>0</v>
      </c>
      <c r="W15" s="154">
        <f t="shared" si="2"/>
        <v>0</v>
      </c>
      <c r="X15" s="154">
        <f t="shared" si="2"/>
        <v>0</v>
      </c>
      <c r="Y15" s="154">
        <f t="shared" si="2"/>
        <v>0</v>
      </c>
      <c r="Z15" s="78"/>
      <c r="AA15" s="78"/>
      <c r="AB15" s="154">
        <f t="shared" ref="AB15:AE15" si="3">8-SUM(AB16:AB17)</f>
        <v>0</v>
      </c>
      <c r="AC15" s="154">
        <f t="shared" si="3"/>
        <v>0</v>
      </c>
      <c r="AD15" s="154">
        <f t="shared" si="3"/>
        <v>0</v>
      </c>
      <c r="AE15" s="154">
        <f t="shared" si="3"/>
        <v>0</v>
      </c>
      <c r="AF15" s="215"/>
      <c r="AG15" s="84">
        <f>SUM(B15:AF15)+COUNTIF(B15:AF15, "DE")*8</f>
        <v>0</v>
      </c>
      <c r="AH15" s="85">
        <f>AG15/8</f>
        <v>0</v>
      </c>
      <c r="AI15" s="85">
        <f>COUNTIF(B15:AF15,"CO")*2</f>
        <v>8</v>
      </c>
      <c r="AJ15" s="85">
        <f>AI15/8</f>
        <v>1</v>
      </c>
      <c r="AK15" s="85">
        <f>COUNTIF(B15:AF15, "CM")*8</f>
        <v>0</v>
      </c>
      <c r="AL15" s="86">
        <f>AK15/8</f>
        <v>0</v>
      </c>
      <c r="AM15" s="53"/>
    </row>
    <row r="16" spans="1:39" ht="26.25" customHeight="1" x14ac:dyDescent="0.3">
      <c r="A16" s="119" t="s">
        <v>28</v>
      </c>
      <c r="B16" s="397" cm="1">
        <f t="array" ref="B16:AE16">TRANSPOSE(IF(E39:E68="","",E39:E68))</f>
        <v>2</v>
      </c>
      <c r="C16" s="155">
        <v>2</v>
      </c>
      <c r="D16" s="155">
        <v>2</v>
      </c>
      <c r="E16" s="80" t="str">
        <v/>
      </c>
      <c r="F16" s="80" t="str">
        <v/>
      </c>
      <c r="G16" s="155">
        <v>2</v>
      </c>
      <c r="H16" s="155">
        <v>2</v>
      </c>
      <c r="I16" s="155">
        <v>8</v>
      </c>
      <c r="J16" s="155">
        <v>2</v>
      </c>
      <c r="K16" s="81" t="str">
        <v/>
      </c>
      <c r="L16" s="80" t="str">
        <v/>
      </c>
      <c r="M16" s="80" t="str">
        <v/>
      </c>
      <c r="N16" s="81" t="str">
        <v/>
      </c>
      <c r="O16" s="155" t="str">
        <v/>
      </c>
      <c r="P16" s="155" t="str">
        <v/>
      </c>
      <c r="Q16" s="155" t="str">
        <v/>
      </c>
      <c r="R16" s="155" t="str">
        <v/>
      </c>
      <c r="S16" s="80" t="str">
        <v/>
      </c>
      <c r="T16" s="80" t="str">
        <v/>
      </c>
      <c r="U16" s="155">
        <v>2</v>
      </c>
      <c r="V16" s="155">
        <v>2</v>
      </c>
      <c r="W16" s="155">
        <v>2</v>
      </c>
      <c r="X16" s="155">
        <v>2</v>
      </c>
      <c r="Y16" s="155">
        <v>2</v>
      </c>
      <c r="Z16" s="80" t="str">
        <v/>
      </c>
      <c r="AA16" s="80" t="str">
        <v/>
      </c>
      <c r="AB16" s="155">
        <v>2</v>
      </c>
      <c r="AC16" s="155">
        <v>2</v>
      </c>
      <c r="AD16" s="155">
        <v>2</v>
      </c>
      <c r="AE16" s="155">
        <v>2</v>
      </c>
      <c r="AF16" s="217"/>
      <c r="AG16" s="87">
        <f>SUM(B16:AF16)+COUNTIF(B16:AF16, "DE")*8</f>
        <v>38</v>
      </c>
      <c r="AH16" s="88">
        <f>AG16/8</f>
        <v>4.75</v>
      </c>
      <c r="AI16" s="88">
        <f>COUNTIF(B16:AF16,"CO")*6</f>
        <v>0</v>
      </c>
      <c r="AJ16" s="88">
        <f>AI16/8</f>
        <v>0</v>
      </c>
      <c r="AK16" s="88">
        <f>COUNTIF(B16:AF16, "CM")*8</f>
        <v>0</v>
      </c>
      <c r="AL16" s="89">
        <f>AK16/8</f>
        <v>0</v>
      </c>
      <c r="AM16" s="53"/>
    </row>
    <row r="17" spans="1:39" ht="26.25" customHeight="1" thickBot="1" x14ac:dyDescent="0.35">
      <c r="A17" s="109" t="s">
        <v>29</v>
      </c>
      <c r="B17" s="398">
        <f>SUMIFS($AL$115:$AL$144,$A$115:$A$144,"="&amp;DATE(2026,4,B13))</f>
        <v>6</v>
      </c>
      <c r="C17" s="156">
        <f>SUMIFS($AL$115:$AL$144,$A$115:$A$144,"="&amp;DATE(2026,4,C13))</f>
        <v>6</v>
      </c>
      <c r="D17" s="156">
        <f>SUMIFS($AL$115:$AL$144,$A$115:$A$144,"="&amp;DATE(2026,4,D13))</f>
        <v>6</v>
      </c>
      <c r="E17" s="82"/>
      <c r="F17" s="82"/>
      <c r="G17" s="156">
        <f>SUMIFS($AL$115:$AL$144,$A$115:$A$144,"="&amp;DATE(2026,4,G13))</f>
        <v>6</v>
      </c>
      <c r="H17" s="156">
        <f>SUMIFS($AL$115:$AL$144,$A$115:$A$144,"="&amp;DATE(2026,4,H13))</f>
        <v>6</v>
      </c>
      <c r="I17" s="156">
        <f>SUMIFS($AL$115:$AL$144,$A$115:$A$144,"="&amp;DATE(2026,4,I13))</f>
        <v>0</v>
      </c>
      <c r="J17" s="156">
        <f>SUMIFS($AL$115:$AL$144,$A$115:$A$144,"="&amp;DATE(2026,4,J13))</f>
        <v>6</v>
      </c>
      <c r="K17" s="83"/>
      <c r="L17" s="82"/>
      <c r="M17" s="82"/>
      <c r="N17" s="83"/>
      <c r="O17" s="156" t="s">
        <v>5</v>
      </c>
      <c r="P17" s="156" t="s">
        <v>5</v>
      </c>
      <c r="Q17" s="156" t="s">
        <v>5</v>
      </c>
      <c r="R17" s="156" t="s">
        <v>5</v>
      </c>
      <c r="S17" s="82"/>
      <c r="T17" s="82"/>
      <c r="U17" s="156">
        <f>SUMIFS($AL$115:$AL$144,$A$115:$A$144,"="&amp;DATE(2026,4,U13))</f>
        <v>6</v>
      </c>
      <c r="V17" s="156">
        <f>SUMIFS($AL$115:$AL$144,$A$115:$A$144,"="&amp;DATE(2026,4,V13))</f>
        <v>6</v>
      </c>
      <c r="W17" s="156">
        <f>SUMIFS($AL$115:$AL$144,$A$115:$A$144,"="&amp;DATE(2026,4,W13))</f>
        <v>6</v>
      </c>
      <c r="X17" s="156">
        <f>SUMIFS($AL$115:$AL$144,$A$115:$A$144,"="&amp;DATE(2026,4,X13))</f>
        <v>6</v>
      </c>
      <c r="Y17" s="156">
        <f>SUMIFS($AL$115:$AL$144,$A$115:$A$144,"="&amp;DATE(2026,4,Y13))</f>
        <v>6</v>
      </c>
      <c r="Z17" s="82"/>
      <c r="AA17" s="82"/>
      <c r="AB17" s="156">
        <f>SUMIFS($AL$115:$AL$144,$A$115:$A$144,"="&amp;DATE(2026,4,AB13))</f>
        <v>6</v>
      </c>
      <c r="AC17" s="156">
        <f>SUMIFS($AL$115:$AL$144,$A$115:$A$144,"="&amp;DATE(2026,4,AC13))</f>
        <v>6</v>
      </c>
      <c r="AD17" s="156">
        <f>SUMIFS($AL$115:$AL$144,$A$115:$A$144,"="&amp;DATE(2026,4,AD13))</f>
        <v>6</v>
      </c>
      <c r="AE17" s="156">
        <f>SUMIFS($AL$115:$AL$144,$A$115:$A$144,"="&amp;DATE(2026,4,AE13))</f>
        <v>6</v>
      </c>
      <c r="AF17" s="219"/>
      <c r="AG17" s="90">
        <f>SUM(B17:AF17)+COUNTIF(B17:AF17, "DE")*8</f>
        <v>90</v>
      </c>
      <c r="AH17" s="91">
        <f>AG17/8</f>
        <v>11.25</v>
      </c>
      <c r="AI17" s="91">
        <f>COUNTIF(B17:AF17,"CO")*6</f>
        <v>24</v>
      </c>
      <c r="AJ17" s="91">
        <f>AI17/8</f>
        <v>3</v>
      </c>
      <c r="AK17" s="91">
        <f>COUNTIF(B17:AF17, "CM")*8</f>
        <v>0</v>
      </c>
      <c r="AL17" s="92">
        <f>AK17/8</f>
        <v>0</v>
      </c>
      <c r="AM17" s="53"/>
    </row>
    <row r="18" spans="1:39" ht="17.25" customHeight="1" thickBot="1" x14ac:dyDescent="0.35">
      <c r="A18" s="54" t="s">
        <v>30</v>
      </c>
      <c r="B18" s="122">
        <f t="shared" ref="B18:D18" si="4">SUM(B15:B17)</f>
        <v>8</v>
      </c>
      <c r="C18" s="122">
        <f t="shared" si="4"/>
        <v>8</v>
      </c>
      <c r="D18" s="122">
        <f t="shared" si="4"/>
        <v>8</v>
      </c>
      <c r="E18" s="121"/>
      <c r="F18" s="121"/>
      <c r="G18" s="122">
        <f>SUM(G15:G17)</f>
        <v>8</v>
      </c>
      <c r="H18" s="122">
        <f t="shared" ref="H18:AE18" si="5">SUM(H15:H17)</f>
        <v>8</v>
      </c>
      <c r="I18" s="122">
        <f t="shared" si="5"/>
        <v>8</v>
      </c>
      <c r="J18" s="122">
        <f t="shared" si="5"/>
        <v>8</v>
      </c>
      <c r="K18" s="152"/>
      <c r="L18" s="121"/>
      <c r="M18" s="121"/>
      <c r="N18" s="152"/>
      <c r="O18" s="122">
        <f t="shared" si="5"/>
        <v>0</v>
      </c>
      <c r="P18" s="122">
        <f t="shared" si="5"/>
        <v>0</v>
      </c>
      <c r="Q18" s="122">
        <f t="shared" si="5"/>
        <v>0</v>
      </c>
      <c r="R18" s="122">
        <f t="shared" si="5"/>
        <v>0</v>
      </c>
      <c r="S18" s="121"/>
      <c r="T18" s="121"/>
      <c r="U18" s="122">
        <f t="shared" si="5"/>
        <v>8</v>
      </c>
      <c r="V18" s="122">
        <f t="shared" si="5"/>
        <v>8</v>
      </c>
      <c r="W18" s="122">
        <f t="shared" si="5"/>
        <v>8</v>
      </c>
      <c r="X18" s="122">
        <f t="shared" si="5"/>
        <v>8</v>
      </c>
      <c r="Y18" s="122">
        <f t="shared" si="5"/>
        <v>8</v>
      </c>
      <c r="Z18" s="121"/>
      <c r="AA18" s="121"/>
      <c r="AB18" s="122">
        <f t="shared" si="5"/>
        <v>8</v>
      </c>
      <c r="AC18" s="122">
        <f t="shared" si="5"/>
        <v>8</v>
      </c>
      <c r="AD18" s="122">
        <f t="shared" si="5"/>
        <v>8</v>
      </c>
      <c r="AE18" s="122">
        <f t="shared" si="5"/>
        <v>8</v>
      </c>
      <c r="AF18" s="221"/>
      <c r="AG18" s="93">
        <f t="shared" ref="AG18:AL18" si="6">SUM(AG15:AG17)</f>
        <v>128</v>
      </c>
      <c r="AH18" s="94">
        <f t="shared" si="6"/>
        <v>16</v>
      </c>
      <c r="AI18" s="94">
        <f t="shared" si="6"/>
        <v>32</v>
      </c>
      <c r="AJ18" s="94">
        <f t="shared" si="6"/>
        <v>4</v>
      </c>
      <c r="AK18" s="94">
        <f t="shared" si="6"/>
        <v>0</v>
      </c>
      <c r="AL18" s="95">
        <f t="shared" si="6"/>
        <v>0</v>
      </c>
      <c r="AM18" s="53"/>
    </row>
    <row r="20" spans="1:39" x14ac:dyDescent="0.3">
      <c r="A20" s="5"/>
      <c r="I20" s="522" t="s">
        <v>31</v>
      </c>
      <c r="J20" s="522"/>
      <c r="K20" s="522"/>
      <c r="L20" s="522"/>
      <c r="M20" s="522"/>
      <c r="N20" s="522"/>
      <c r="O20" s="522"/>
      <c r="P20" s="545" t="s">
        <v>32</v>
      </c>
      <c r="Q20" s="545"/>
      <c r="R20" s="545"/>
      <c r="S20" s="545"/>
      <c r="T20" s="545"/>
      <c r="U20" s="545"/>
      <c r="V20" s="545"/>
    </row>
    <row r="22" spans="1:39" x14ac:dyDescent="0.3">
      <c r="I22" s="544" t="s">
        <v>33</v>
      </c>
      <c r="J22" s="544"/>
      <c r="K22" s="544"/>
      <c r="L22" s="544"/>
      <c r="M22" s="544"/>
      <c r="N22" s="544"/>
      <c r="O22" s="544"/>
      <c r="P22" s="545"/>
      <c r="Q22" s="545"/>
      <c r="R22" s="545"/>
      <c r="S22" s="545"/>
      <c r="T22" s="545"/>
      <c r="U22" s="545"/>
      <c r="V22" s="545"/>
    </row>
    <row r="23" spans="1:39" x14ac:dyDescent="0.3">
      <c r="I23" s="5"/>
      <c r="J23" s="5"/>
      <c r="K23" s="5"/>
      <c r="L23" s="5"/>
      <c r="M23" s="5"/>
      <c r="N23" s="5"/>
      <c r="O23" s="5"/>
    </row>
    <row r="24" spans="1:39" x14ac:dyDescent="0.3">
      <c r="I24" s="5"/>
      <c r="J24" s="5"/>
      <c r="K24" s="5"/>
      <c r="L24" s="5"/>
      <c r="M24" s="5"/>
      <c r="N24" s="5"/>
      <c r="O24" s="5"/>
    </row>
    <row r="25" spans="1:39" x14ac:dyDescent="0.3">
      <c r="I25" s="522" t="s">
        <v>34</v>
      </c>
      <c r="J25" s="522"/>
      <c r="K25" s="522"/>
      <c r="L25" s="522"/>
      <c r="M25" s="522"/>
      <c r="N25" s="522"/>
      <c r="O25" s="522"/>
      <c r="P25" s="545" t="s">
        <v>32</v>
      </c>
      <c r="Q25" s="545"/>
      <c r="R25" s="545"/>
      <c r="S25" s="545"/>
      <c r="T25" s="545"/>
      <c r="U25" s="545"/>
      <c r="V25" s="545"/>
    </row>
    <row r="26" spans="1:39" x14ac:dyDescent="0.3">
      <c r="I26" s="544" t="s">
        <v>35</v>
      </c>
      <c r="J26" s="544"/>
      <c r="K26" s="544"/>
      <c r="L26" s="544"/>
      <c r="M26" s="544"/>
      <c r="N26" s="544"/>
      <c r="O26" s="544"/>
      <c r="P26" s="545"/>
      <c r="Q26" s="545"/>
      <c r="R26" s="545"/>
      <c r="S26" s="545"/>
      <c r="T26" s="545"/>
      <c r="U26" s="545"/>
      <c r="V26" s="545"/>
    </row>
    <row r="27" spans="1:39" x14ac:dyDescent="0.3">
      <c r="I27" s="544" t="s">
        <v>36</v>
      </c>
      <c r="J27" s="544"/>
      <c r="K27" s="544"/>
      <c r="L27" s="544"/>
      <c r="M27" s="544"/>
      <c r="N27" s="544"/>
      <c r="O27" s="544"/>
      <c r="P27" s="545"/>
      <c r="Q27" s="545"/>
      <c r="R27" s="545"/>
      <c r="S27" s="545"/>
      <c r="T27" s="545"/>
      <c r="U27" s="545"/>
      <c r="V27" s="545"/>
    </row>
    <row r="28" spans="1:39" x14ac:dyDescent="0.3">
      <c r="I28" s="544" t="s">
        <v>33</v>
      </c>
      <c r="J28" s="544"/>
      <c r="K28" s="544"/>
      <c r="L28" s="544"/>
      <c r="M28" s="544"/>
      <c r="N28" s="544"/>
      <c r="O28" s="544"/>
      <c r="P28" s="545"/>
      <c r="Q28" s="545"/>
      <c r="R28" s="545"/>
      <c r="S28" s="545"/>
      <c r="T28" s="545"/>
      <c r="U28" s="545"/>
      <c r="V28" s="545"/>
    </row>
    <row r="29" spans="1:39" x14ac:dyDescent="0.3"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</row>
    <row r="30" spans="1:39" x14ac:dyDescent="0.3"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  <c r="V30" s="5"/>
    </row>
    <row r="31" spans="1:39" x14ac:dyDescent="0.3"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</row>
    <row r="32" spans="1:39" x14ac:dyDescent="0.3"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  <c r="V32" s="5"/>
    </row>
    <row r="33" spans="1:48" ht="13.5" thickBot="1" x14ac:dyDescent="0.35">
      <c r="I33" s="6"/>
      <c r="J33" s="6"/>
      <c r="K33" s="6"/>
      <c r="L33" s="6"/>
      <c r="M33" s="6"/>
      <c r="N33" s="6"/>
      <c r="O33" s="6"/>
      <c r="P33" s="5"/>
      <c r="Q33" s="5"/>
      <c r="R33" s="5"/>
      <c r="S33" s="5"/>
      <c r="T33" s="5"/>
      <c r="U33" s="5"/>
      <c r="V33" s="5"/>
      <c r="AQ33" s="55"/>
    </row>
    <row r="34" spans="1:48" ht="15" thickBot="1" x14ac:dyDescent="0.4">
      <c r="A34" s="546" t="s">
        <v>37</v>
      </c>
      <c r="B34" s="547"/>
      <c r="C34" s="547"/>
      <c r="D34" s="547"/>
      <c r="E34" s="547"/>
      <c r="F34" s="547"/>
      <c r="G34" s="547"/>
      <c r="H34" s="547"/>
      <c r="I34" s="547"/>
      <c r="J34" s="547"/>
      <c r="K34" s="548"/>
      <c r="R34" s="549" t="s">
        <v>38</v>
      </c>
      <c r="S34" s="550"/>
      <c r="T34" s="550"/>
      <c r="U34" s="550"/>
      <c r="V34" s="550"/>
      <c r="W34" s="550"/>
      <c r="X34" s="550"/>
      <c r="Y34" s="551"/>
    </row>
    <row r="35" spans="1:48" ht="14.5" x14ac:dyDescent="0.35">
      <c r="A35" s="552" t="s">
        <v>39</v>
      </c>
      <c r="B35" s="553"/>
      <c r="C35" s="553"/>
      <c r="D35" s="553"/>
      <c r="E35" s="553"/>
      <c r="F35" s="553"/>
      <c r="G35" s="553"/>
      <c r="H35" s="553"/>
      <c r="I35" s="553"/>
      <c r="J35" s="553"/>
      <c r="K35" s="554"/>
      <c r="L35" s="55"/>
      <c r="M35" s="55"/>
      <c r="N35" s="55"/>
    </row>
    <row r="36" spans="1:48" ht="15" thickBot="1" x14ac:dyDescent="0.4">
      <c r="A36" s="555" t="s">
        <v>181</v>
      </c>
      <c r="B36" s="556"/>
      <c r="C36" s="556"/>
      <c r="D36" s="556"/>
      <c r="E36" s="556"/>
      <c r="F36" s="556"/>
      <c r="G36" s="556"/>
      <c r="H36" s="556"/>
      <c r="I36" s="556"/>
      <c r="J36" s="556"/>
      <c r="K36" s="557"/>
    </row>
    <row r="37" spans="1:48" ht="13.5" thickBot="1" x14ac:dyDescent="0.35">
      <c r="I37" s="6"/>
      <c r="J37" s="6"/>
      <c r="K37" s="6"/>
      <c r="L37" s="6"/>
      <c r="M37" s="6"/>
      <c r="N37" s="6"/>
      <c r="O37" s="6"/>
      <c r="P37" s="5"/>
      <c r="Q37" s="5"/>
      <c r="R37" s="5"/>
      <c r="S37" s="5"/>
      <c r="T37" s="5"/>
      <c r="U37" s="5"/>
      <c r="V37" s="5"/>
    </row>
    <row r="38" spans="1:48" s="9" customFormat="1" ht="15" thickBot="1" x14ac:dyDescent="0.4">
      <c r="A38" s="56" t="s">
        <v>41</v>
      </c>
      <c r="B38" s="541" t="s">
        <v>42</v>
      </c>
      <c r="C38" s="541"/>
      <c r="D38" s="541" t="s">
        <v>43</v>
      </c>
      <c r="E38" s="541"/>
      <c r="F38" s="541" t="s">
        <v>44</v>
      </c>
      <c r="G38" s="541"/>
      <c r="H38" s="541"/>
      <c r="I38" s="541"/>
      <c r="J38" s="541"/>
      <c r="K38" s="541"/>
      <c r="L38" s="541"/>
      <c r="M38" s="541"/>
      <c r="N38" s="541"/>
      <c r="O38" s="541"/>
      <c r="P38" s="541"/>
      <c r="Q38" s="541"/>
      <c r="R38" s="541"/>
      <c r="S38" s="541"/>
      <c r="T38" s="541"/>
      <c r="U38" s="541"/>
      <c r="V38" s="541"/>
      <c r="W38" s="541"/>
      <c r="X38" s="541"/>
      <c r="Y38" s="541"/>
      <c r="Z38" s="541"/>
      <c r="AA38" s="541"/>
      <c r="AB38" s="541"/>
      <c r="AC38" s="541"/>
      <c r="AD38" s="541"/>
      <c r="AE38" s="541"/>
      <c r="AF38" s="541"/>
      <c r="AG38" s="541" t="s">
        <v>45</v>
      </c>
      <c r="AH38" s="541"/>
      <c r="AI38" s="541"/>
      <c r="AJ38" s="541"/>
      <c r="AK38" s="541"/>
      <c r="AL38" s="542"/>
      <c r="AV38" s="69"/>
    </row>
    <row r="39" spans="1:48" x14ac:dyDescent="0.3">
      <c r="A39" s="162">
        <v>46113</v>
      </c>
      <c r="B39" s="163"/>
      <c r="C39" s="164" t="s">
        <v>55</v>
      </c>
      <c r="D39" s="165"/>
      <c r="E39" s="166">
        <v>2</v>
      </c>
      <c r="F39" s="543" t="s">
        <v>182</v>
      </c>
      <c r="G39" s="543"/>
      <c r="H39" s="543"/>
      <c r="I39" s="543"/>
      <c r="J39" s="543"/>
      <c r="K39" s="543"/>
      <c r="L39" s="543"/>
      <c r="M39" s="543"/>
      <c r="N39" s="543"/>
      <c r="O39" s="543"/>
      <c r="P39" s="543"/>
      <c r="Q39" s="543"/>
      <c r="R39" s="543"/>
      <c r="S39" s="543"/>
      <c r="T39" s="543"/>
      <c r="U39" s="543"/>
      <c r="V39" s="543"/>
      <c r="W39" s="543"/>
      <c r="X39" s="543"/>
      <c r="Y39" s="543"/>
      <c r="Z39" s="543"/>
      <c r="AA39" s="543"/>
      <c r="AB39" s="543"/>
      <c r="AC39" s="543"/>
      <c r="AD39" s="543"/>
      <c r="AE39" s="543"/>
      <c r="AF39" s="543"/>
      <c r="AG39" s="529"/>
      <c r="AH39" s="529"/>
      <c r="AI39" s="529"/>
      <c r="AJ39" s="529"/>
      <c r="AK39" s="529"/>
      <c r="AL39" s="530"/>
      <c r="AM39" s="27"/>
    </row>
    <row r="40" spans="1:48" x14ac:dyDescent="0.3">
      <c r="A40" s="162">
        <v>46114</v>
      </c>
      <c r="B40" s="163"/>
      <c r="C40" s="164" t="s">
        <v>48</v>
      </c>
      <c r="D40" s="165"/>
      <c r="E40" s="166">
        <v>2</v>
      </c>
      <c r="F40" s="529" t="s">
        <v>183</v>
      </c>
      <c r="G40" s="529"/>
      <c r="H40" s="529"/>
      <c r="I40" s="529"/>
      <c r="J40" s="529"/>
      <c r="K40" s="529"/>
      <c r="L40" s="529"/>
      <c r="M40" s="529"/>
      <c r="N40" s="529"/>
      <c r="O40" s="529"/>
      <c r="P40" s="529"/>
      <c r="Q40" s="529"/>
      <c r="R40" s="529"/>
      <c r="S40" s="529"/>
      <c r="T40" s="529"/>
      <c r="U40" s="529"/>
      <c r="V40" s="529"/>
      <c r="W40" s="529"/>
      <c r="X40" s="529"/>
      <c r="Y40" s="529"/>
      <c r="Z40" s="529"/>
      <c r="AA40" s="529"/>
      <c r="AB40" s="529"/>
      <c r="AC40" s="529"/>
      <c r="AD40" s="529"/>
      <c r="AE40" s="529"/>
      <c r="AF40" s="529"/>
      <c r="AG40" s="529"/>
      <c r="AH40" s="529"/>
      <c r="AI40" s="529"/>
      <c r="AJ40" s="529"/>
      <c r="AK40" s="529"/>
      <c r="AL40" s="530"/>
      <c r="AM40" s="27"/>
    </row>
    <row r="41" spans="1:48" x14ac:dyDescent="0.3">
      <c r="A41" s="162">
        <v>46115</v>
      </c>
      <c r="B41" s="163"/>
      <c r="C41" s="164" t="s">
        <v>48</v>
      </c>
      <c r="D41" s="165"/>
      <c r="E41" s="166">
        <v>2</v>
      </c>
      <c r="F41" s="529" t="s">
        <v>184</v>
      </c>
      <c r="G41" s="529"/>
      <c r="H41" s="529"/>
      <c r="I41" s="529"/>
      <c r="J41" s="529"/>
      <c r="K41" s="529"/>
      <c r="L41" s="529"/>
      <c r="M41" s="529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30"/>
      <c r="AM41" s="27"/>
    </row>
    <row r="42" spans="1:48" s="55" customFormat="1" x14ac:dyDescent="0.3">
      <c r="A42" s="60">
        <v>46116</v>
      </c>
      <c r="B42" s="61"/>
      <c r="C42" s="13"/>
      <c r="D42" s="62"/>
      <c r="E42" s="14"/>
      <c r="F42" s="537"/>
      <c r="G42" s="537"/>
      <c r="H42" s="537"/>
      <c r="I42" s="537"/>
      <c r="J42" s="537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U42" s="537"/>
      <c r="V42" s="537"/>
      <c r="W42" s="537"/>
      <c r="X42" s="537"/>
      <c r="Y42" s="537"/>
      <c r="Z42" s="537"/>
      <c r="AA42" s="537"/>
      <c r="AB42" s="537"/>
      <c r="AC42" s="537"/>
      <c r="AD42" s="537"/>
      <c r="AE42" s="537"/>
      <c r="AF42" s="537"/>
      <c r="AG42" s="537"/>
      <c r="AH42" s="537"/>
      <c r="AI42" s="537"/>
      <c r="AJ42" s="537"/>
      <c r="AK42" s="537"/>
      <c r="AL42" s="538"/>
      <c r="AM42" s="27"/>
      <c r="AO42" s="123"/>
      <c r="AP42" s="123"/>
    </row>
    <row r="43" spans="1:48" s="55" customFormat="1" x14ac:dyDescent="0.3">
      <c r="A43" s="60">
        <v>46117</v>
      </c>
      <c r="B43" s="61"/>
      <c r="C43" s="13"/>
      <c r="D43" s="62"/>
      <c r="E43" s="14"/>
      <c r="F43" s="537"/>
      <c r="G43" s="537"/>
      <c r="H43" s="537"/>
      <c r="I43" s="537"/>
      <c r="J43" s="537"/>
      <c r="K43" s="537"/>
      <c r="L43" s="537"/>
      <c r="M43" s="537"/>
      <c r="N43" s="537"/>
      <c r="O43" s="537"/>
      <c r="P43" s="537"/>
      <c r="Q43" s="537"/>
      <c r="R43" s="537"/>
      <c r="S43" s="537"/>
      <c r="T43" s="537"/>
      <c r="U43" s="537"/>
      <c r="V43" s="537"/>
      <c r="W43" s="537"/>
      <c r="X43" s="537"/>
      <c r="Y43" s="537"/>
      <c r="Z43" s="537"/>
      <c r="AA43" s="537"/>
      <c r="AB43" s="537"/>
      <c r="AC43" s="537"/>
      <c r="AD43" s="537"/>
      <c r="AE43" s="537"/>
      <c r="AF43" s="537"/>
      <c r="AG43" s="537"/>
      <c r="AH43" s="537"/>
      <c r="AI43" s="537"/>
      <c r="AJ43" s="537"/>
      <c r="AK43" s="537"/>
      <c r="AL43" s="538"/>
      <c r="AM43" s="27"/>
      <c r="AO43" s="123"/>
      <c r="AP43" s="123"/>
    </row>
    <row r="44" spans="1:48" s="55" customFormat="1" x14ac:dyDescent="0.3">
      <c r="A44" s="162">
        <v>46118</v>
      </c>
      <c r="B44" s="163"/>
      <c r="C44" s="164" t="s">
        <v>48</v>
      </c>
      <c r="D44" s="165"/>
      <c r="E44" s="166">
        <v>2</v>
      </c>
      <c r="F44" s="529" t="s">
        <v>184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29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30"/>
      <c r="AM44" s="27"/>
      <c r="AO44" s="123"/>
      <c r="AP44" s="123"/>
    </row>
    <row r="45" spans="1:48" s="55" customFormat="1" x14ac:dyDescent="0.3">
      <c r="A45" s="162">
        <v>46119</v>
      </c>
      <c r="B45" s="163"/>
      <c r="C45" s="164" t="s">
        <v>48</v>
      </c>
      <c r="D45" s="165"/>
      <c r="E45" s="166">
        <v>2</v>
      </c>
      <c r="F45" s="529" t="s">
        <v>184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29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30"/>
      <c r="AM45" s="27"/>
      <c r="AO45" s="123"/>
      <c r="AP45" s="123"/>
    </row>
    <row r="46" spans="1:48" s="55" customFormat="1" x14ac:dyDescent="0.3">
      <c r="A46" s="162">
        <v>46120</v>
      </c>
      <c r="B46" s="163"/>
      <c r="C46" s="164" t="s">
        <v>48</v>
      </c>
      <c r="D46" s="165"/>
      <c r="E46" s="166">
        <v>8</v>
      </c>
      <c r="F46" s="529" t="s">
        <v>185</v>
      </c>
      <c r="G46" s="529"/>
      <c r="H46" s="529"/>
      <c r="I46" s="529"/>
      <c r="J46" s="529"/>
      <c r="K46" s="529"/>
      <c r="L46" s="529"/>
      <c r="M46" s="529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30"/>
      <c r="AM46" s="27"/>
      <c r="AO46" s="123"/>
      <c r="AP46" s="123"/>
    </row>
    <row r="47" spans="1:48" s="55" customFormat="1" x14ac:dyDescent="0.3">
      <c r="A47" s="162">
        <v>46121</v>
      </c>
      <c r="B47" s="163"/>
      <c r="C47" s="164" t="s">
        <v>48</v>
      </c>
      <c r="D47" s="165"/>
      <c r="E47" s="166">
        <v>2</v>
      </c>
      <c r="F47" s="529" t="s">
        <v>184</v>
      </c>
      <c r="G47" s="529"/>
      <c r="H47" s="529"/>
      <c r="I47" s="529"/>
      <c r="J47" s="529"/>
      <c r="K47" s="529"/>
      <c r="L47" s="529"/>
      <c r="M47" s="529"/>
      <c r="N47" s="529"/>
      <c r="O47" s="529"/>
      <c r="P47" s="529"/>
      <c r="Q47" s="529"/>
      <c r="R47" s="529"/>
      <c r="S47" s="529"/>
      <c r="T47" s="529"/>
      <c r="U47" s="529"/>
      <c r="V47" s="529"/>
      <c r="W47" s="529"/>
      <c r="X47" s="529"/>
      <c r="Y47" s="529"/>
      <c r="Z47" s="529"/>
      <c r="AA47" s="529"/>
      <c r="AB47" s="529"/>
      <c r="AC47" s="529"/>
      <c r="AD47" s="529"/>
      <c r="AE47" s="529"/>
      <c r="AF47" s="529"/>
      <c r="AG47" s="529"/>
      <c r="AH47" s="529"/>
      <c r="AI47" s="529"/>
      <c r="AJ47" s="529"/>
      <c r="AK47" s="529"/>
      <c r="AL47" s="530"/>
      <c r="AM47" s="27"/>
      <c r="AO47" s="123"/>
      <c r="AP47" s="123"/>
    </row>
    <row r="48" spans="1:48" s="55" customFormat="1" x14ac:dyDescent="0.3">
      <c r="A48" s="57">
        <v>46122</v>
      </c>
      <c r="B48" s="58"/>
      <c r="C48" s="11"/>
      <c r="D48" s="59"/>
      <c r="E48" s="12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39"/>
      <c r="R48" s="539"/>
      <c r="S48" s="539"/>
      <c r="T48" s="539"/>
      <c r="U48" s="539"/>
      <c r="V48" s="539"/>
      <c r="W48" s="539"/>
      <c r="X48" s="539"/>
      <c r="Y48" s="539"/>
      <c r="Z48" s="539"/>
      <c r="AA48" s="539"/>
      <c r="AB48" s="539"/>
      <c r="AC48" s="539"/>
      <c r="AD48" s="539"/>
      <c r="AE48" s="539"/>
      <c r="AF48" s="539"/>
      <c r="AG48" s="539"/>
      <c r="AH48" s="539"/>
      <c r="AI48" s="539"/>
      <c r="AJ48" s="539"/>
      <c r="AK48" s="539"/>
      <c r="AL48" s="540"/>
      <c r="AM48" s="27"/>
      <c r="AO48" s="123"/>
      <c r="AP48" s="123"/>
    </row>
    <row r="49" spans="1:42" s="55" customFormat="1" x14ac:dyDescent="0.3">
      <c r="A49" s="60">
        <v>46123</v>
      </c>
      <c r="B49" s="61"/>
      <c r="C49" s="13"/>
      <c r="D49" s="62"/>
      <c r="E49" s="14"/>
      <c r="F49" s="537"/>
      <c r="G49" s="537"/>
      <c r="H49" s="537"/>
      <c r="I49" s="537"/>
      <c r="J49" s="537"/>
      <c r="K49" s="537"/>
      <c r="L49" s="537"/>
      <c r="M49" s="537"/>
      <c r="N49" s="537"/>
      <c r="O49" s="537"/>
      <c r="P49" s="537"/>
      <c r="Q49" s="537"/>
      <c r="R49" s="537"/>
      <c r="S49" s="537"/>
      <c r="T49" s="537"/>
      <c r="U49" s="537"/>
      <c r="V49" s="537"/>
      <c r="W49" s="537"/>
      <c r="X49" s="537"/>
      <c r="Y49" s="537"/>
      <c r="Z49" s="537"/>
      <c r="AA49" s="537"/>
      <c r="AB49" s="537"/>
      <c r="AC49" s="537"/>
      <c r="AD49" s="537"/>
      <c r="AE49" s="537"/>
      <c r="AF49" s="537"/>
      <c r="AG49" s="537"/>
      <c r="AH49" s="537"/>
      <c r="AI49" s="537"/>
      <c r="AJ49" s="537"/>
      <c r="AK49" s="537"/>
      <c r="AL49" s="538"/>
      <c r="AM49" s="27"/>
      <c r="AO49" s="123"/>
      <c r="AP49" s="123"/>
    </row>
    <row r="50" spans="1:42" s="55" customFormat="1" x14ac:dyDescent="0.3">
      <c r="A50" s="60">
        <v>46124</v>
      </c>
      <c r="B50" s="61"/>
      <c r="C50" s="13"/>
      <c r="D50" s="62"/>
      <c r="E50" s="14"/>
      <c r="F50" s="537"/>
      <c r="G50" s="537"/>
      <c r="H50" s="537"/>
      <c r="I50" s="537"/>
      <c r="J50" s="537"/>
      <c r="K50" s="537"/>
      <c r="L50" s="537"/>
      <c r="M50" s="537"/>
      <c r="N50" s="537"/>
      <c r="O50" s="537"/>
      <c r="P50" s="537"/>
      <c r="Q50" s="537"/>
      <c r="R50" s="537"/>
      <c r="S50" s="537"/>
      <c r="T50" s="537"/>
      <c r="U50" s="537"/>
      <c r="V50" s="537"/>
      <c r="W50" s="537"/>
      <c r="X50" s="537"/>
      <c r="Y50" s="537"/>
      <c r="Z50" s="537"/>
      <c r="AA50" s="537"/>
      <c r="AB50" s="537"/>
      <c r="AC50" s="537"/>
      <c r="AD50" s="537"/>
      <c r="AE50" s="537"/>
      <c r="AF50" s="537"/>
      <c r="AG50" s="537"/>
      <c r="AH50" s="537"/>
      <c r="AI50" s="537"/>
      <c r="AJ50" s="537"/>
      <c r="AK50" s="537"/>
      <c r="AL50" s="538"/>
      <c r="AM50" s="27"/>
      <c r="AO50" s="123"/>
      <c r="AP50" s="123"/>
    </row>
    <row r="51" spans="1:42" s="55" customFormat="1" x14ac:dyDescent="0.3">
      <c r="A51" s="57">
        <v>46125</v>
      </c>
      <c r="B51" s="58"/>
      <c r="C51" s="11"/>
      <c r="D51" s="59"/>
      <c r="E51" s="12"/>
      <c r="F51" s="539"/>
      <c r="G51" s="539"/>
      <c r="H51" s="539"/>
      <c r="I51" s="539"/>
      <c r="J51" s="539"/>
      <c r="K51" s="539"/>
      <c r="L51" s="539"/>
      <c r="M51" s="539"/>
      <c r="N51" s="539"/>
      <c r="O51" s="539"/>
      <c r="P51" s="539"/>
      <c r="Q51" s="539"/>
      <c r="R51" s="539"/>
      <c r="S51" s="539"/>
      <c r="T51" s="539"/>
      <c r="U51" s="539"/>
      <c r="V51" s="539"/>
      <c r="W51" s="539"/>
      <c r="X51" s="539"/>
      <c r="Y51" s="539"/>
      <c r="Z51" s="539"/>
      <c r="AA51" s="539"/>
      <c r="AB51" s="539"/>
      <c r="AC51" s="539"/>
      <c r="AD51" s="539"/>
      <c r="AE51" s="539"/>
      <c r="AF51" s="539"/>
      <c r="AG51" s="539"/>
      <c r="AH51" s="539"/>
      <c r="AI51" s="539"/>
      <c r="AJ51" s="539"/>
      <c r="AK51" s="539"/>
      <c r="AL51" s="540"/>
      <c r="AM51" s="27"/>
      <c r="AO51" s="123"/>
      <c r="AP51" s="123"/>
    </row>
    <row r="52" spans="1:42" s="55" customFormat="1" x14ac:dyDescent="0.3">
      <c r="A52" s="162">
        <v>46126</v>
      </c>
      <c r="B52" s="163"/>
      <c r="C52" s="164"/>
      <c r="D52" s="165"/>
      <c r="E52" s="166"/>
      <c r="F52" s="529" t="s">
        <v>5</v>
      </c>
      <c r="G52" s="529"/>
      <c r="H52" s="529"/>
      <c r="I52" s="529"/>
      <c r="J52" s="529"/>
      <c r="K52" s="529"/>
      <c r="L52" s="529"/>
      <c r="M52" s="529"/>
      <c r="N52" s="529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  <c r="AA52" s="529"/>
      <c r="AB52" s="529"/>
      <c r="AC52" s="529"/>
      <c r="AD52" s="529"/>
      <c r="AE52" s="529"/>
      <c r="AF52" s="529"/>
      <c r="AG52" s="529"/>
      <c r="AH52" s="529"/>
      <c r="AI52" s="529"/>
      <c r="AJ52" s="529"/>
      <c r="AK52" s="529"/>
      <c r="AL52" s="530"/>
      <c r="AM52" s="27"/>
      <c r="AO52" s="123"/>
      <c r="AP52" s="123"/>
    </row>
    <row r="53" spans="1:42" s="55" customFormat="1" x14ac:dyDescent="0.3">
      <c r="A53" s="162">
        <v>46127</v>
      </c>
      <c r="B53" s="163"/>
      <c r="C53" s="164"/>
      <c r="D53" s="165"/>
      <c r="E53" s="166"/>
      <c r="F53" s="529" t="s">
        <v>5</v>
      </c>
      <c r="G53" s="529"/>
      <c r="H53" s="529"/>
      <c r="I53" s="529"/>
      <c r="J53" s="529"/>
      <c r="K53" s="529"/>
      <c r="L53" s="529"/>
      <c r="M53" s="529"/>
      <c r="N53" s="529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529"/>
      <c r="AH53" s="529"/>
      <c r="AI53" s="529"/>
      <c r="AJ53" s="529"/>
      <c r="AK53" s="529"/>
      <c r="AL53" s="530"/>
      <c r="AM53" s="27"/>
      <c r="AO53" s="123"/>
      <c r="AP53" s="123"/>
    </row>
    <row r="54" spans="1:42" s="55" customFormat="1" x14ac:dyDescent="0.3">
      <c r="A54" s="162">
        <v>46128</v>
      </c>
      <c r="B54" s="163"/>
      <c r="C54" s="164"/>
      <c r="D54" s="165"/>
      <c r="E54" s="166"/>
      <c r="F54" s="529" t="s">
        <v>5</v>
      </c>
      <c r="G54" s="529"/>
      <c r="H54" s="529"/>
      <c r="I54" s="529"/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/>
      <c r="AF54" s="529"/>
      <c r="AG54" s="529"/>
      <c r="AH54" s="529"/>
      <c r="AI54" s="529"/>
      <c r="AJ54" s="529"/>
      <c r="AK54" s="529"/>
      <c r="AL54" s="530"/>
      <c r="AM54" s="27"/>
      <c r="AO54" s="123"/>
      <c r="AP54" s="123"/>
    </row>
    <row r="55" spans="1:42" s="55" customFormat="1" x14ac:dyDescent="0.3">
      <c r="A55" s="162">
        <v>46129</v>
      </c>
      <c r="B55" s="163"/>
      <c r="C55" s="164"/>
      <c r="D55" s="165"/>
      <c r="E55" s="166"/>
      <c r="F55" s="529" t="s">
        <v>5</v>
      </c>
      <c r="G55" s="529"/>
      <c r="H55" s="529"/>
      <c r="I55" s="529"/>
      <c r="J55" s="529"/>
      <c r="K55" s="529"/>
      <c r="L55" s="529"/>
      <c r="M55" s="529"/>
      <c r="N55" s="529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529"/>
      <c r="AI55" s="529"/>
      <c r="AJ55" s="529"/>
      <c r="AK55" s="529"/>
      <c r="AL55" s="530"/>
      <c r="AM55" s="27"/>
      <c r="AO55" s="123"/>
      <c r="AP55" s="123"/>
    </row>
    <row r="56" spans="1:42" s="55" customFormat="1" x14ac:dyDescent="0.3">
      <c r="A56" s="60">
        <v>46130</v>
      </c>
      <c r="B56" s="61"/>
      <c r="C56" s="13"/>
      <c r="D56" s="62"/>
      <c r="E56" s="14"/>
      <c r="F56" s="537"/>
      <c r="G56" s="537"/>
      <c r="H56" s="537"/>
      <c r="I56" s="537"/>
      <c r="J56" s="537"/>
      <c r="K56" s="537"/>
      <c r="L56" s="537"/>
      <c r="M56" s="537"/>
      <c r="N56" s="537"/>
      <c r="O56" s="537"/>
      <c r="P56" s="537"/>
      <c r="Q56" s="537"/>
      <c r="R56" s="537"/>
      <c r="S56" s="537"/>
      <c r="T56" s="537"/>
      <c r="U56" s="537"/>
      <c r="V56" s="537"/>
      <c r="W56" s="537"/>
      <c r="X56" s="537"/>
      <c r="Y56" s="537"/>
      <c r="Z56" s="537"/>
      <c r="AA56" s="537"/>
      <c r="AB56" s="537"/>
      <c r="AC56" s="537"/>
      <c r="AD56" s="537"/>
      <c r="AE56" s="537"/>
      <c r="AF56" s="537"/>
      <c r="AG56" s="537"/>
      <c r="AH56" s="537"/>
      <c r="AI56" s="537"/>
      <c r="AJ56" s="537"/>
      <c r="AK56" s="537"/>
      <c r="AL56" s="538"/>
      <c r="AM56" s="27"/>
      <c r="AO56" s="123"/>
      <c r="AP56" s="123"/>
    </row>
    <row r="57" spans="1:42" s="55" customFormat="1" x14ac:dyDescent="0.3">
      <c r="A57" s="60">
        <v>46131</v>
      </c>
      <c r="B57" s="61"/>
      <c r="C57" s="13"/>
      <c r="D57" s="62"/>
      <c r="E57" s="14"/>
      <c r="F57" s="537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7"/>
      <c r="R57" s="537"/>
      <c r="S57" s="537"/>
      <c r="T57" s="537"/>
      <c r="U57" s="537"/>
      <c r="V57" s="537"/>
      <c r="W57" s="537"/>
      <c r="X57" s="537"/>
      <c r="Y57" s="537"/>
      <c r="Z57" s="537"/>
      <c r="AA57" s="537"/>
      <c r="AB57" s="537"/>
      <c r="AC57" s="537"/>
      <c r="AD57" s="537"/>
      <c r="AE57" s="537"/>
      <c r="AF57" s="537"/>
      <c r="AG57" s="537"/>
      <c r="AH57" s="537"/>
      <c r="AI57" s="537"/>
      <c r="AJ57" s="537"/>
      <c r="AK57" s="537"/>
      <c r="AL57" s="538"/>
      <c r="AM57" s="27"/>
      <c r="AO57" s="123"/>
      <c r="AP57" s="123"/>
    </row>
    <row r="58" spans="1:42" s="55" customFormat="1" x14ac:dyDescent="0.3">
      <c r="A58" s="162">
        <v>46132</v>
      </c>
      <c r="B58" s="163"/>
      <c r="C58" s="164"/>
      <c r="D58" s="165"/>
      <c r="E58" s="166">
        <v>2</v>
      </c>
      <c r="F58" s="529" t="s">
        <v>186</v>
      </c>
      <c r="G58" s="529"/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29"/>
      <c r="AB58" s="529"/>
      <c r="AC58" s="529"/>
      <c r="AD58" s="529"/>
      <c r="AE58" s="529"/>
      <c r="AF58" s="529"/>
      <c r="AG58" s="529"/>
      <c r="AH58" s="529"/>
      <c r="AI58" s="529"/>
      <c r="AJ58" s="529"/>
      <c r="AK58" s="529"/>
      <c r="AL58" s="530"/>
      <c r="AM58" s="27"/>
      <c r="AO58" s="123"/>
      <c r="AP58" s="123"/>
    </row>
    <row r="59" spans="1:42" s="55" customFormat="1" x14ac:dyDescent="0.3">
      <c r="A59" s="162">
        <v>46133</v>
      </c>
      <c r="B59" s="163"/>
      <c r="C59" s="164"/>
      <c r="D59" s="165"/>
      <c r="E59" s="166">
        <v>2</v>
      </c>
      <c r="F59" s="529" t="s">
        <v>186</v>
      </c>
      <c r="G59" s="529"/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29"/>
      <c r="AB59" s="529"/>
      <c r="AC59" s="529"/>
      <c r="AD59" s="529"/>
      <c r="AE59" s="529"/>
      <c r="AF59" s="529"/>
      <c r="AG59" s="529"/>
      <c r="AH59" s="529"/>
      <c r="AI59" s="529"/>
      <c r="AJ59" s="529"/>
      <c r="AK59" s="529"/>
      <c r="AL59" s="530"/>
      <c r="AM59" s="27"/>
      <c r="AO59" s="123"/>
      <c r="AP59" s="123"/>
    </row>
    <row r="60" spans="1:42" s="55" customFormat="1" x14ac:dyDescent="0.3">
      <c r="A60" s="162">
        <v>46134</v>
      </c>
      <c r="B60" s="163"/>
      <c r="C60" s="164"/>
      <c r="D60" s="165"/>
      <c r="E60" s="166">
        <v>2</v>
      </c>
      <c r="F60" s="529" t="s">
        <v>186</v>
      </c>
      <c r="G60" s="529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529"/>
      <c r="AH60" s="529"/>
      <c r="AI60" s="529"/>
      <c r="AJ60" s="529"/>
      <c r="AK60" s="529"/>
      <c r="AL60" s="530"/>
      <c r="AM60" s="27"/>
      <c r="AO60" s="123"/>
      <c r="AP60" s="123"/>
    </row>
    <row r="61" spans="1:42" s="55" customFormat="1" x14ac:dyDescent="0.3">
      <c r="A61" s="162">
        <v>46135</v>
      </c>
      <c r="B61" s="163"/>
      <c r="C61" s="164"/>
      <c r="D61" s="165"/>
      <c r="E61" s="166">
        <v>2</v>
      </c>
      <c r="F61" s="529" t="s">
        <v>186</v>
      </c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529"/>
      <c r="AH61" s="529"/>
      <c r="AI61" s="529"/>
      <c r="AJ61" s="529"/>
      <c r="AK61" s="529"/>
      <c r="AL61" s="530"/>
      <c r="AM61" s="27"/>
      <c r="AO61" s="123"/>
      <c r="AP61" s="123"/>
    </row>
    <row r="62" spans="1:42" s="55" customFormat="1" x14ac:dyDescent="0.3">
      <c r="A62" s="162">
        <v>46136</v>
      </c>
      <c r="B62" s="163"/>
      <c r="C62" s="164"/>
      <c r="D62" s="165"/>
      <c r="E62" s="166">
        <v>2</v>
      </c>
      <c r="F62" s="529" t="s">
        <v>184</v>
      </c>
      <c r="G62" s="529"/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529"/>
      <c r="AH62" s="529"/>
      <c r="AI62" s="529"/>
      <c r="AJ62" s="529"/>
      <c r="AK62" s="529"/>
      <c r="AL62" s="530"/>
      <c r="AM62" s="27"/>
      <c r="AO62" s="123"/>
      <c r="AP62" s="123"/>
    </row>
    <row r="63" spans="1:42" s="55" customFormat="1" x14ac:dyDescent="0.3">
      <c r="A63" s="60">
        <v>46137</v>
      </c>
      <c r="B63" s="61"/>
      <c r="C63" s="13"/>
      <c r="D63" s="62"/>
      <c r="E63" s="14"/>
      <c r="F63" s="537"/>
      <c r="G63" s="537"/>
      <c r="H63" s="537"/>
      <c r="I63" s="537"/>
      <c r="J63" s="537"/>
      <c r="K63" s="537"/>
      <c r="L63" s="537"/>
      <c r="M63" s="537"/>
      <c r="N63" s="537"/>
      <c r="O63" s="537"/>
      <c r="P63" s="537"/>
      <c r="Q63" s="537"/>
      <c r="R63" s="537"/>
      <c r="S63" s="537"/>
      <c r="T63" s="537"/>
      <c r="U63" s="537"/>
      <c r="V63" s="537"/>
      <c r="W63" s="537"/>
      <c r="X63" s="537"/>
      <c r="Y63" s="537"/>
      <c r="Z63" s="537"/>
      <c r="AA63" s="537"/>
      <c r="AB63" s="537"/>
      <c r="AC63" s="537"/>
      <c r="AD63" s="537"/>
      <c r="AE63" s="537"/>
      <c r="AF63" s="537"/>
      <c r="AG63" s="537"/>
      <c r="AH63" s="537"/>
      <c r="AI63" s="537"/>
      <c r="AJ63" s="537"/>
      <c r="AK63" s="537"/>
      <c r="AL63" s="538"/>
      <c r="AM63" s="27"/>
      <c r="AO63" s="123"/>
      <c r="AP63" s="123"/>
    </row>
    <row r="64" spans="1:42" s="55" customFormat="1" x14ac:dyDescent="0.3">
      <c r="A64" s="60">
        <v>46138</v>
      </c>
      <c r="B64" s="61"/>
      <c r="C64" s="13"/>
      <c r="D64" s="62"/>
      <c r="E64" s="14"/>
      <c r="F64" s="537"/>
      <c r="G64" s="537"/>
      <c r="H64" s="537"/>
      <c r="I64" s="537"/>
      <c r="J64" s="537"/>
      <c r="K64" s="537"/>
      <c r="L64" s="537"/>
      <c r="M64" s="537"/>
      <c r="N64" s="537"/>
      <c r="O64" s="537"/>
      <c r="P64" s="537"/>
      <c r="Q64" s="537"/>
      <c r="R64" s="537"/>
      <c r="S64" s="537"/>
      <c r="T64" s="537"/>
      <c r="U64" s="537"/>
      <c r="V64" s="537"/>
      <c r="W64" s="537"/>
      <c r="X64" s="537"/>
      <c r="Y64" s="537"/>
      <c r="Z64" s="537"/>
      <c r="AA64" s="537"/>
      <c r="AB64" s="537"/>
      <c r="AC64" s="537"/>
      <c r="AD64" s="537"/>
      <c r="AE64" s="537"/>
      <c r="AF64" s="537"/>
      <c r="AG64" s="537"/>
      <c r="AH64" s="537"/>
      <c r="AI64" s="537"/>
      <c r="AJ64" s="537"/>
      <c r="AK64" s="537"/>
      <c r="AL64" s="538"/>
      <c r="AM64" s="27"/>
      <c r="AO64" s="123"/>
      <c r="AP64" s="123"/>
    </row>
    <row r="65" spans="1:42" s="55" customFormat="1" x14ac:dyDescent="0.3">
      <c r="A65" s="162">
        <v>46139</v>
      </c>
      <c r="B65" s="163"/>
      <c r="C65" s="164"/>
      <c r="D65" s="165"/>
      <c r="E65" s="166">
        <v>2</v>
      </c>
      <c r="F65" s="529" t="s">
        <v>184</v>
      </c>
      <c r="G65" s="529"/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29"/>
      <c r="AB65" s="529"/>
      <c r="AC65" s="529"/>
      <c r="AD65" s="529"/>
      <c r="AE65" s="529"/>
      <c r="AF65" s="529"/>
      <c r="AG65" s="529"/>
      <c r="AH65" s="529"/>
      <c r="AI65" s="529"/>
      <c r="AJ65" s="529"/>
      <c r="AK65" s="529"/>
      <c r="AL65" s="530"/>
      <c r="AM65" s="27"/>
      <c r="AO65" s="123"/>
      <c r="AP65" s="123"/>
    </row>
    <row r="66" spans="1:42" s="55" customFormat="1" x14ac:dyDescent="0.3">
      <c r="A66" s="162">
        <v>46140</v>
      </c>
      <c r="B66" s="163"/>
      <c r="C66" s="164"/>
      <c r="D66" s="165"/>
      <c r="E66" s="166">
        <v>2</v>
      </c>
      <c r="F66" s="529" t="s">
        <v>184</v>
      </c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529"/>
      <c r="AG66" s="529"/>
      <c r="AH66" s="529"/>
      <c r="AI66" s="529"/>
      <c r="AJ66" s="529"/>
      <c r="AK66" s="529"/>
      <c r="AL66" s="530"/>
      <c r="AM66" s="27"/>
      <c r="AO66" s="123"/>
      <c r="AP66" s="123"/>
    </row>
    <row r="67" spans="1:42" s="55" customFormat="1" x14ac:dyDescent="0.3">
      <c r="A67" s="162">
        <v>46141</v>
      </c>
      <c r="B67" s="163"/>
      <c r="C67" s="164"/>
      <c r="D67" s="165"/>
      <c r="E67" s="166">
        <v>2</v>
      </c>
      <c r="F67" s="529" t="s">
        <v>184</v>
      </c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529"/>
      <c r="AG67" s="529"/>
      <c r="AH67" s="529"/>
      <c r="AI67" s="529"/>
      <c r="AJ67" s="529"/>
      <c r="AK67" s="529"/>
      <c r="AL67" s="530"/>
      <c r="AM67" s="27"/>
      <c r="AO67" s="123"/>
      <c r="AP67" s="123"/>
    </row>
    <row r="68" spans="1:42" s="55" customFormat="1" ht="13.5" thickBot="1" x14ac:dyDescent="0.35">
      <c r="A68" s="273">
        <v>46142</v>
      </c>
      <c r="B68" s="274"/>
      <c r="C68" s="275"/>
      <c r="D68" s="276"/>
      <c r="E68" s="277">
        <v>2</v>
      </c>
      <c r="F68" s="531" t="s">
        <v>182</v>
      </c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531"/>
      <c r="U68" s="531"/>
      <c r="V68" s="531"/>
      <c r="W68" s="531"/>
      <c r="X68" s="531"/>
      <c r="Y68" s="531"/>
      <c r="Z68" s="531"/>
      <c r="AA68" s="531"/>
      <c r="AB68" s="531"/>
      <c r="AC68" s="531"/>
      <c r="AD68" s="531"/>
      <c r="AE68" s="531"/>
      <c r="AF68" s="531"/>
      <c r="AG68" s="531"/>
      <c r="AH68" s="531"/>
      <c r="AI68" s="531"/>
      <c r="AJ68" s="531"/>
      <c r="AK68" s="531"/>
      <c r="AL68" s="532"/>
      <c r="AM68" s="27"/>
      <c r="AO68" s="123"/>
      <c r="AP68" s="123"/>
    </row>
    <row r="69" spans="1:42" s="55" customFormat="1" ht="15" thickBot="1" x14ac:dyDescent="0.35">
      <c r="A69" s="269" t="s">
        <v>53</v>
      </c>
      <c r="B69" s="270"/>
      <c r="C69" s="270"/>
      <c r="D69" s="271"/>
      <c r="E69" s="272">
        <f>SUM(E39:E68)</f>
        <v>38</v>
      </c>
      <c r="F69" s="4"/>
      <c r="G69" s="4"/>
      <c r="H69" s="4"/>
      <c r="I69" s="6"/>
      <c r="J69" s="6"/>
      <c r="K69" s="6"/>
      <c r="L69" s="6"/>
      <c r="M69" s="6"/>
      <c r="N69" s="6"/>
      <c r="O69" s="6"/>
      <c r="P69" s="5"/>
      <c r="Q69" s="5"/>
      <c r="R69" s="5"/>
      <c r="S69" s="5"/>
      <c r="T69" s="5"/>
      <c r="U69" s="5"/>
      <c r="V69" s="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O69" s="123"/>
      <c r="AP69" s="123"/>
    </row>
    <row r="70" spans="1:42" s="55" customFormat="1" ht="13.5" thickBot="1" x14ac:dyDescent="0.35">
      <c r="A70" s="533" t="s">
        <v>54</v>
      </c>
      <c r="B70" s="535" t="s">
        <v>55</v>
      </c>
      <c r="C70" s="536"/>
      <c r="D70" s="535" t="s">
        <v>56</v>
      </c>
      <c r="E70" s="536"/>
      <c r="F70" s="535" t="s">
        <v>46</v>
      </c>
      <c r="G70" s="536"/>
      <c r="H70" s="535" t="s">
        <v>48</v>
      </c>
      <c r="I70" s="536"/>
      <c r="J70" s="525"/>
      <c r="K70" s="522"/>
      <c r="L70" s="522"/>
      <c r="M70" s="522"/>
      <c r="N70" s="6"/>
      <c r="O70" s="6"/>
      <c r="P70" s="5"/>
      <c r="Q70" s="5"/>
      <c r="R70" s="5"/>
      <c r="S70" s="5"/>
      <c r="T70" s="5"/>
      <c r="U70" s="5"/>
      <c r="V70" s="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O70" s="123"/>
      <c r="AP70" s="123"/>
    </row>
    <row r="71" spans="1:42" s="55" customFormat="1" ht="13.5" thickBot="1" x14ac:dyDescent="0.35">
      <c r="A71" s="534"/>
      <c r="B71" s="523">
        <f>SUMIFS($E$39:$E$68,$C$39:$C$68,"WP1")</f>
        <v>2</v>
      </c>
      <c r="C71" s="524"/>
      <c r="D71" s="523">
        <f>SUMIFS($E$39:$E$68,$C$39:$C$68,"WP2")</f>
        <v>0</v>
      </c>
      <c r="E71" s="524"/>
      <c r="F71" s="523">
        <f>SUMIFS($E$39:$E$68,$C$39:$C$68,"WP3")</f>
        <v>0</v>
      </c>
      <c r="G71" s="524"/>
      <c r="H71" s="523">
        <f>SUMIFS($E$39:$E$68,$C$39:$C$68,"WP4")</f>
        <v>18</v>
      </c>
      <c r="I71" s="524"/>
      <c r="J71" s="525"/>
      <c r="K71" s="522"/>
      <c r="L71" s="522"/>
      <c r="M71" s="522"/>
      <c r="N71" s="6"/>
      <c r="O71" s="6"/>
      <c r="P71" s="5"/>
      <c r="Q71" s="5"/>
      <c r="R71" s="5"/>
      <c r="S71" s="5"/>
      <c r="T71" s="5"/>
      <c r="U71" s="5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O71" s="123"/>
      <c r="AP71" s="123"/>
    </row>
    <row r="72" spans="1:42" x14ac:dyDescent="0.3">
      <c r="I72" s="6"/>
      <c r="J72" s="6"/>
      <c r="K72" s="6"/>
      <c r="L72" s="6"/>
      <c r="M72" s="6"/>
      <c r="N72" s="6"/>
      <c r="O72" s="6"/>
      <c r="P72" s="5"/>
      <c r="Q72" s="5"/>
      <c r="R72" s="5"/>
      <c r="S72" s="5"/>
      <c r="T72" s="5"/>
      <c r="U72" s="5"/>
      <c r="V72" s="5"/>
    </row>
    <row r="73" spans="1:42" x14ac:dyDescent="0.3">
      <c r="I73" s="6"/>
      <c r="J73" s="6"/>
      <c r="K73" s="6"/>
      <c r="L73" s="6"/>
      <c r="M73" s="6"/>
      <c r="N73" s="6"/>
      <c r="O73" s="6"/>
      <c r="P73" s="5"/>
      <c r="Q73" s="5"/>
      <c r="R73" s="5"/>
      <c r="S73" s="5"/>
      <c r="T73" s="5"/>
      <c r="U73" s="5"/>
      <c r="V73" s="5"/>
    </row>
    <row r="74" spans="1:42" x14ac:dyDescent="0.3">
      <c r="I74" s="6"/>
      <c r="J74" s="6"/>
      <c r="K74" s="6"/>
      <c r="L74" s="6"/>
      <c r="M74" s="6"/>
      <c r="N74" s="6"/>
      <c r="O74" s="6"/>
      <c r="P74" s="5"/>
      <c r="Q74" s="5"/>
      <c r="R74" s="5"/>
      <c r="S74" s="5"/>
      <c r="T74" s="5"/>
      <c r="U74" s="5"/>
      <c r="V74" s="5"/>
    </row>
    <row r="75" spans="1:42" x14ac:dyDescent="0.3">
      <c r="I75" s="6"/>
      <c r="J75" s="6"/>
      <c r="K75" s="6"/>
      <c r="L75" s="6"/>
      <c r="M75" s="6"/>
      <c r="N75" s="6"/>
      <c r="O75" s="6"/>
      <c r="P75" s="5"/>
      <c r="Q75" s="5"/>
      <c r="R75" s="5"/>
      <c r="S75" s="5"/>
      <c r="T75" s="5"/>
      <c r="U75" s="5"/>
      <c r="V75" s="5"/>
    </row>
    <row r="76" spans="1:42" x14ac:dyDescent="0.3">
      <c r="I76" s="6"/>
      <c r="J76" s="6"/>
      <c r="K76" s="6"/>
      <c r="L76" s="6"/>
      <c r="M76" s="6"/>
      <c r="N76" s="6"/>
      <c r="O76" s="6"/>
      <c r="P76" s="5"/>
      <c r="Q76" s="5"/>
      <c r="R76" s="5"/>
      <c r="S76" s="5"/>
      <c r="T76" s="5"/>
      <c r="U76" s="5"/>
      <c r="V76" s="5"/>
    </row>
    <row r="77" spans="1:42" x14ac:dyDescent="0.3">
      <c r="I77" s="6"/>
      <c r="J77" s="6"/>
      <c r="K77" s="6"/>
      <c r="L77" s="6"/>
      <c r="M77" s="6"/>
      <c r="N77" s="6"/>
      <c r="O77" s="6"/>
      <c r="P77" s="5"/>
      <c r="Q77" s="5"/>
      <c r="R77" s="5"/>
      <c r="S77" s="5"/>
      <c r="T77" s="5"/>
      <c r="U77" s="5"/>
      <c r="V77" s="5"/>
    </row>
    <row r="78" spans="1:42" x14ac:dyDescent="0.3">
      <c r="I78" s="6"/>
      <c r="J78" s="6"/>
      <c r="K78" s="6"/>
      <c r="L78" s="6"/>
      <c r="M78" s="6"/>
      <c r="N78" s="6"/>
      <c r="O78" s="6"/>
      <c r="P78" s="5"/>
      <c r="Q78" s="5"/>
      <c r="R78" s="5"/>
      <c r="S78" s="5"/>
      <c r="T78" s="5"/>
      <c r="U78" s="5"/>
      <c r="V78" s="5"/>
    </row>
    <row r="79" spans="1:42" x14ac:dyDescent="0.3">
      <c r="I79" s="6"/>
      <c r="J79" s="6"/>
      <c r="K79" s="6"/>
      <c r="L79" s="6"/>
      <c r="M79" s="6"/>
      <c r="N79" s="6"/>
      <c r="O79" s="6"/>
      <c r="P79" s="5"/>
      <c r="Q79" s="5"/>
      <c r="R79" s="5"/>
      <c r="S79" s="5"/>
      <c r="T79" s="5"/>
      <c r="U79" s="5"/>
      <c r="V79" s="5"/>
    </row>
    <row r="80" spans="1:42" x14ac:dyDescent="0.3">
      <c r="A80" s="15"/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5"/>
      <c r="U80" s="5"/>
      <c r="V80" s="5"/>
    </row>
    <row r="81" spans="1:22" x14ac:dyDescent="0.3">
      <c r="I81" s="6"/>
      <c r="J81" s="6"/>
      <c r="K81" s="6"/>
      <c r="L81" s="6"/>
      <c r="M81" s="6"/>
      <c r="N81" s="6"/>
      <c r="O81" s="6"/>
      <c r="P81" s="5"/>
      <c r="Q81" s="5"/>
      <c r="R81" s="5"/>
      <c r="S81" s="5"/>
      <c r="T81" s="5"/>
      <c r="U81" s="5"/>
      <c r="V81" s="5"/>
    </row>
    <row r="82" spans="1:22" x14ac:dyDescent="0.3">
      <c r="I82" s="6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5"/>
      <c r="V82" s="5"/>
    </row>
    <row r="83" spans="1:22" x14ac:dyDescent="0.3"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5"/>
      <c r="U83" s="5"/>
      <c r="V83" s="5"/>
    </row>
    <row r="84" spans="1:22" x14ac:dyDescent="0.3"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5"/>
      <c r="U84" s="5"/>
      <c r="V84" s="5"/>
    </row>
    <row r="85" spans="1:22" x14ac:dyDescent="0.3"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5"/>
      <c r="U85" s="5"/>
      <c r="V85" s="5"/>
    </row>
    <row r="86" spans="1:22" x14ac:dyDescent="0.3"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5"/>
      <c r="U86" s="5"/>
      <c r="V86" s="5"/>
    </row>
    <row r="87" spans="1:22" x14ac:dyDescent="0.3"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5"/>
      <c r="U87" s="5"/>
      <c r="V87" s="5"/>
    </row>
    <row r="88" spans="1:22" x14ac:dyDescent="0.3"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5"/>
      <c r="U88" s="5"/>
      <c r="V88" s="5"/>
    </row>
    <row r="89" spans="1:22" x14ac:dyDescent="0.3"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5"/>
      <c r="U89" s="5"/>
      <c r="V89" s="5"/>
    </row>
    <row r="90" spans="1:22" x14ac:dyDescent="0.3"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5"/>
      <c r="U90" s="5"/>
      <c r="V90" s="5"/>
    </row>
    <row r="91" spans="1:22" x14ac:dyDescent="0.3"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5"/>
      <c r="U91" s="5"/>
      <c r="V91" s="5"/>
    </row>
    <row r="92" spans="1:22" x14ac:dyDescent="0.3"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5"/>
      <c r="U92" s="5"/>
      <c r="V92" s="5"/>
    </row>
    <row r="93" spans="1:22" x14ac:dyDescent="0.3">
      <c r="A93" s="15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5"/>
      <c r="V93" s="5"/>
    </row>
    <row r="94" spans="1:22" x14ac:dyDescent="0.3">
      <c r="A94" s="15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5"/>
      <c r="U94" s="5"/>
      <c r="V94" s="5"/>
    </row>
    <row r="95" spans="1:22" x14ac:dyDescent="0.3">
      <c r="A95" s="15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5"/>
      <c r="U95" s="5"/>
      <c r="V95" s="5"/>
    </row>
    <row r="96" spans="1:22" x14ac:dyDescent="0.3">
      <c r="A96" s="15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5"/>
      <c r="U96" s="5"/>
      <c r="V96" s="5"/>
    </row>
    <row r="97" spans="1:43" x14ac:dyDescent="0.3">
      <c r="A97" s="15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5"/>
      <c r="V97" s="5"/>
    </row>
    <row r="98" spans="1:43" x14ac:dyDescent="0.3">
      <c r="A98" s="15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5"/>
      <c r="U98" s="5"/>
      <c r="V98" s="5"/>
    </row>
    <row r="99" spans="1:43" x14ac:dyDescent="0.3">
      <c r="A99" s="15"/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5"/>
      <c r="U99" s="5"/>
      <c r="V99" s="5"/>
    </row>
    <row r="100" spans="1:43" x14ac:dyDescent="0.3">
      <c r="A100" s="15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5"/>
      <c r="T100" s="5"/>
      <c r="U100" s="5"/>
      <c r="V100" s="5"/>
    </row>
    <row r="101" spans="1:43" x14ac:dyDescent="0.3">
      <c r="A101" s="15"/>
      <c r="I101" s="6"/>
      <c r="J101" s="6"/>
      <c r="K101" s="6"/>
      <c r="L101" s="6"/>
      <c r="M101" s="6"/>
      <c r="N101" s="6"/>
      <c r="O101" s="6"/>
      <c r="P101" s="5"/>
      <c r="Q101" s="5"/>
      <c r="R101" s="5"/>
      <c r="S101" s="5"/>
      <c r="T101" s="5"/>
      <c r="U101" s="5"/>
      <c r="V101" s="5"/>
    </row>
    <row r="102" spans="1:43" ht="13.5" thickBot="1" x14ac:dyDescent="0.35">
      <c r="A102" s="287"/>
      <c r="B102" s="287"/>
      <c r="C102" s="287"/>
      <c r="D102" s="287"/>
      <c r="E102" s="287"/>
      <c r="F102" s="287"/>
      <c r="G102" s="287"/>
      <c r="H102" s="287"/>
      <c r="I102" s="288"/>
      <c r="J102" s="288"/>
      <c r="K102" s="288"/>
      <c r="L102" s="288"/>
      <c r="M102" s="288"/>
      <c r="N102" s="288"/>
      <c r="O102" s="288"/>
      <c r="P102" s="289"/>
      <c r="Q102" s="289"/>
      <c r="R102" s="289"/>
      <c r="S102" s="289"/>
      <c r="T102" s="289"/>
      <c r="U102" s="289"/>
      <c r="V102" s="289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Q102" s="55"/>
    </row>
    <row r="103" spans="1:43" x14ac:dyDescent="0.3">
      <c r="A103" s="281"/>
      <c r="B103" s="282"/>
      <c r="C103" s="282"/>
      <c r="D103" s="282"/>
      <c r="E103" s="282"/>
      <c r="F103" s="282"/>
      <c r="G103" s="282"/>
      <c r="H103" s="282"/>
      <c r="I103" s="283"/>
      <c r="J103" s="283"/>
      <c r="K103" s="283"/>
      <c r="L103" s="283"/>
      <c r="M103" s="283"/>
      <c r="N103" s="283"/>
      <c r="O103" s="283"/>
      <c r="P103" s="284"/>
      <c r="Q103" s="284"/>
      <c r="R103" s="284"/>
      <c r="S103" s="284"/>
      <c r="T103" s="284"/>
      <c r="U103" s="284"/>
      <c r="V103" s="284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  <c r="AI103" s="282"/>
      <c r="AJ103" s="282"/>
      <c r="AK103" s="282"/>
      <c r="AL103" s="282"/>
      <c r="AM103" s="285"/>
    </row>
    <row r="104" spans="1:43" x14ac:dyDescent="0.3">
      <c r="A104" s="286"/>
      <c r="B104" s="287"/>
      <c r="C104" s="287"/>
      <c r="D104" s="287"/>
      <c r="E104" s="287"/>
      <c r="F104" s="287"/>
      <c r="G104" s="287"/>
      <c r="H104" s="287"/>
      <c r="I104" s="288"/>
      <c r="J104" s="288"/>
      <c r="K104" s="288"/>
      <c r="L104" s="288"/>
      <c r="M104" s="288"/>
      <c r="N104" s="288"/>
      <c r="O104" s="288"/>
      <c r="P104" s="289"/>
      <c r="Q104" s="289"/>
      <c r="R104" s="289"/>
      <c r="S104" s="289"/>
      <c r="T104" s="289"/>
      <c r="U104" s="289"/>
      <c r="V104" s="289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90"/>
    </row>
    <row r="105" spans="1:43" x14ac:dyDescent="0.3">
      <c r="A105" s="286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287"/>
      <c r="AL105" s="287"/>
      <c r="AM105" s="290"/>
    </row>
    <row r="106" spans="1:43" ht="14.15" customHeight="1" x14ac:dyDescent="0.3">
      <c r="A106" s="286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  <c r="AK106" s="287"/>
      <c r="AL106" s="287"/>
      <c r="AM106" s="290"/>
    </row>
    <row r="107" spans="1:43" x14ac:dyDescent="0.3">
      <c r="A107" s="286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  <c r="AI107" s="287"/>
      <c r="AJ107" s="287"/>
      <c r="AK107" s="287"/>
      <c r="AL107" s="287"/>
      <c r="AM107" s="290"/>
    </row>
    <row r="108" spans="1:43" ht="13.5" thickBot="1" x14ac:dyDescent="0.35">
      <c r="A108" s="291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2"/>
      <c r="AH108" s="292"/>
      <c r="AI108" s="292"/>
      <c r="AJ108" s="292"/>
      <c r="AK108" s="292"/>
      <c r="AL108" s="292"/>
      <c r="AM108" s="293"/>
    </row>
    <row r="109" spans="1:43" ht="14.15" customHeight="1" x14ac:dyDescent="0.3">
      <c r="A109" s="509" t="s">
        <v>57</v>
      </c>
      <c r="B109" s="510"/>
      <c r="C109" s="510"/>
      <c r="D109" s="510"/>
      <c r="E109" s="510"/>
      <c r="F109" s="511"/>
      <c r="G109" s="512" t="s">
        <v>58</v>
      </c>
      <c r="H109" s="513"/>
      <c r="I109" s="513"/>
      <c r="J109" s="513"/>
      <c r="K109" s="513"/>
      <c r="L109" s="513"/>
      <c r="M109" s="513"/>
      <c r="N109" s="513"/>
      <c r="O109" s="513"/>
      <c r="P109" s="513"/>
      <c r="Q109" s="513"/>
      <c r="R109" s="513"/>
      <c r="S109" s="513"/>
      <c r="T109" s="513"/>
      <c r="U109" s="513"/>
      <c r="V109" s="513"/>
      <c r="W109" s="513"/>
      <c r="X109" s="513"/>
      <c r="Y109" s="513"/>
      <c r="Z109" s="513"/>
      <c r="AA109" s="513"/>
      <c r="AB109" s="513"/>
      <c r="AC109" s="513"/>
      <c r="AD109" s="513"/>
      <c r="AE109" s="513"/>
      <c r="AF109" s="513"/>
      <c r="AG109" s="513"/>
      <c r="AH109" s="513"/>
      <c r="AI109" s="513"/>
      <c r="AJ109" s="513"/>
      <c r="AK109" s="513"/>
      <c r="AL109" s="513"/>
      <c r="AM109" s="514"/>
      <c r="AN109" s="515"/>
      <c r="AO109" s="25"/>
      <c r="AP109" s="25"/>
    </row>
    <row r="110" spans="1:43" ht="14.15" customHeight="1" x14ac:dyDescent="0.3">
      <c r="A110" s="516" t="s">
        <v>59</v>
      </c>
      <c r="B110" s="517"/>
      <c r="C110" s="517"/>
      <c r="D110" s="517"/>
      <c r="E110" s="517"/>
      <c r="F110" s="518"/>
      <c r="G110" s="519" t="s">
        <v>60</v>
      </c>
      <c r="H110" s="520"/>
      <c r="I110" s="520"/>
      <c r="J110" s="520"/>
      <c r="K110" s="520"/>
      <c r="L110" s="520"/>
      <c r="M110" s="520"/>
      <c r="N110" s="520"/>
      <c r="O110" s="520"/>
      <c r="P110" s="520"/>
      <c r="Q110" s="520"/>
      <c r="R110" s="520"/>
      <c r="S110" s="520"/>
      <c r="T110" s="520"/>
      <c r="U110" s="520"/>
      <c r="V110" s="520"/>
      <c r="W110" s="520"/>
      <c r="X110" s="520"/>
      <c r="Y110" s="520"/>
      <c r="Z110" s="520"/>
      <c r="AA110" s="520"/>
      <c r="AB110" s="520"/>
      <c r="AC110" s="520"/>
      <c r="AD110" s="520"/>
      <c r="AE110" s="520"/>
      <c r="AF110" s="520"/>
      <c r="AG110" s="520"/>
      <c r="AH110" s="520"/>
      <c r="AI110" s="520"/>
      <c r="AJ110" s="520"/>
      <c r="AK110" s="520"/>
      <c r="AL110" s="520"/>
      <c r="AM110" s="521"/>
      <c r="AN110" s="515"/>
      <c r="AO110" s="25"/>
      <c r="AP110" s="25"/>
    </row>
    <row r="111" spans="1:43" ht="14.15" customHeight="1" x14ac:dyDescent="0.3">
      <c r="A111" s="516" t="s">
        <v>61</v>
      </c>
      <c r="B111" s="517"/>
      <c r="C111" s="517"/>
      <c r="D111" s="517"/>
      <c r="E111" s="517"/>
      <c r="F111" s="518"/>
      <c r="G111" s="519" t="s">
        <v>62</v>
      </c>
      <c r="H111" s="520"/>
      <c r="I111" s="520"/>
      <c r="J111" s="520"/>
      <c r="K111" s="520"/>
      <c r="L111" s="520"/>
      <c r="M111" s="520"/>
      <c r="N111" s="520"/>
      <c r="O111" s="520"/>
      <c r="P111" s="520"/>
      <c r="Q111" s="520"/>
      <c r="R111" s="520"/>
      <c r="S111" s="520"/>
      <c r="T111" s="520"/>
      <c r="U111" s="520"/>
      <c r="V111" s="520"/>
      <c r="W111" s="520"/>
      <c r="X111" s="520"/>
      <c r="Y111" s="520"/>
      <c r="Z111" s="520"/>
      <c r="AA111" s="520"/>
      <c r="AB111" s="520"/>
      <c r="AC111" s="520"/>
      <c r="AD111" s="520"/>
      <c r="AE111" s="520"/>
      <c r="AF111" s="520"/>
      <c r="AG111" s="520"/>
      <c r="AH111" s="520"/>
      <c r="AI111" s="520"/>
      <c r="AJ111" s="520"/>
      <c r="AK111" s="520"/>
      <c r="AL111" s="520"/>
      <c r="AM111" s="521"/>
      <c r="AN111" s="515"/>
      <c r="AO111" s="25"/>
      <c r="AP111" s="25"/>
    </row>
    <row r="112" spans="1:43" ht="14.15" customHeight="1" x14ac:dyDescent="0.3">
      <c r="A112" s="516" t="s">
        <v>63</v>
      </c>
      <c r="B112" s="517"/>
      <c r="C112" s="517"/>
      <c r="D112" s="517"/>
      <c r="E112" s="517"/>
      <c r="F112" s="518"/>
      <c r="G112" s="519" t="s">
        <v>64</v>
      </c>
      <c r="H112" s="520"/>
      <c r="I112" s="520"/>
      <c r="J112" s="520"/>
      <c r="K112" s="520"/>
      <c r="L112" s="520"/>
      <c r="M112" s="520"/>
      <c r="N112" s="520"/>
      <c r="O112" s="520"/>
      <c r="P112" s="520"/>
      <c r="Q112" s="520"/>
      <c r="R112" s="520"/>
      <c r="S112" s="520"/>
      <c r="T112" s="520"/>
      <c r="U112" s="520"/>
      <c r="V112" s="520"/>
      <c r="W112" s="520"/>
      <c r="X112" s="520"/>
      <c r="Y112" s="520"/>
      <c r="Z112" s="520"/>
      <c r="AA112" s="520"/>
      <c r="AB112" s="520"/>
      <c r="AC112" s="520"/>
      <c r="AD112" s="520"/>
      <c r="AE112" s="520"/>
      <c r="AF112" s="520"/>
      <c r="AG112" s="520"/>
      <c r="AH112" s="520"/>
      <c r="AI112" s="520"/>
      <c r="AJ112" s="520"/>
      <c r="AK112" s="520"/>
      <c r="AL112" s="520"/>
      <c r="AM112" s="521"/>
      <c r="AN112" s="515"/>
      <c r="AO112" s="25"/>
      <c r="AP112" s="25"/>
    </row>
    <row r="113" spans="1:54" ht="14.15" customHeight="1" thickBot="1" x14ac:dyDescent="0.35">
      <c r="A113" s="516" t="s">
        <v>65</v>
      </c>
      <c r="B113" s="517"/>
      <c r="C113" s="517"/>
      <c r="D113" s="517"/>
      <c r="E113" s="517"/>
      <c r="F113" s="518"/>
      <c r="G113" s="526" t="s">
        <v>66</v>
      </c>
      <c r="H113" s="527"/>
      <c r="I113" s="527"/>
      <c r="J113" s="527"/>
      <c r="K113" s="527"/>
      <c r="L113" s="527"/>
      <c r="M113" s="527"/>
      <c r="N113" s="527"/>
      <c r="O113" s="527"/>
      <c r="P113" s="527"/>
      <c r="Q113" s="527"/>
      <c r="R113" s="527"/>
      <c r="S113" s="527"/>
      <c r="T113" s="527"/>
      <c r="U113" s="527"/>
      <c r="V113" s="527"/>
      <c r="W113" s="527"/>
      <c r="X113" s="527"/>
      <c r="Y113" s="527"/>
      <c r="Z113" s="527"/>
      <c r="AA113" s="527"/>
      <c r="AB113" s="527"/>
      <c r="AC113" s="527"/>
      <c r="AD113" s="527"/>
      <c r="AE113" s="527"/>
      <c r="AF113" s="527"/>
      <c r="AG113" s="527"/>
      <c r="AH113" s="527"/>
      <c r="AI113" s="527"/>
      <c r="AJ113" s="527"/>
      <c r="AK113" s="527"/>
      <c r="AL113" s="527"/>
      <c r="AM113" s="528"/>
      <c r="AN113" s="515"/>
      <c r="AO113" s="25"/>
      <c r="AP113" s="25"/>
    </row>
    <row r="114" spans="1:54" s="10" customFormat="1" ht="28.5" customHeight="1" thickBot="1" x14ac:dyDescent="0.4">
      <c r="A114" s="294" t="s">
        <v>67</v>
      </c>
      <c r="B114" s="504" t="s">
        <v>68</v>
      </c>
      <c r="C114" s="504"/>
      <c r="D114" s="505" t="s">
        <v>69</v>
      </c>
      <c r="E114" s="506"/>
      <c r="F114" s="506"/>
      <c r="G114" s="506"/>
      <c r="H114" s="506"/>
      <c r="I114" s="506"/>
      <c r="J114" s="506"/>
      <c r="K114" s="506"/>
      <c r="L114" s="506"/>
      <c r="M114" s="506"/>
      <c r="N114" s="506"/>
      <c r="O114" s="506"/>
      <c r="P114" s="506"/>
      <c r="Q114" s="506"/>
      <c r="R114" s="506"/>
      <c r="S114" s="506"/>
      <c r="T114" s="506"/>
      <c r="U114" s="506"/>
      <c r="V114" s="506"/>
      <c r="W114" s="506"/>
      <c r="X114" s="506"/>
      <c r="Y114" s="506"/>
      <c r="Z114" s="506"/>
      <c r="AA114" s="506"/>
      <c r="AB114" s="506"/>
      <c r="AC114" s="506"/>
      <c r="AD114" s="506"/>
      <c r="AE114" s="506"/>
      <c r="AF114" s="506"/>
      <c r="AG114" s="506"/>
      <c r="AH114" s="506"/>
      <c r="AI114" s="506"/>
      <c r="AJ114" s="506"/>
      <c r="AK114" s="295" t="s">
        <v>70</v>
      </c>
      <c r="AL114" s="295" t="s">
        <v>71</v>
      </c>
      <c r="AM114" s="75" t="s">
        <v>72</v>
      </c>
      <c r="AN114" s="24" t="s">
        <v>73</v>
      </c>
      <c r="AO114" s="376" t="s">
        <v>74</v>
      </c>
      <c r="AP114" s="377" t="s">
        <v>75</v>
      </c>
      <c r="AQ114" s="114" t="s">
        <v>76</v>
      </c>
      <c r="AR114" s="114" t="s">
        <v>77</v>
      </c>
      <c r="AS114" s="114" t="s">
        <v>78</v>
      </c>
      <c r="AT114" s="114" t="s">
        <v>79</v>
      </c>
      <c r="AU114" s="114" t="s">
        <v>80</v>
      </c>
      <c r="AV114" s="114" t="s">
        <v>81</v>
      </c>
      <c r="AW114" s="114" t="s">
        <v>82</v>
      </c>
      <c r="AX114" s="114" t="s">
        <v>83</v>
      </c>
      <c r="AY114" s="114" t="s">
        <v>84</v>
      </c>
      <c r="AZ114" s="114" t="s">
        <v>85</v>
      </c>
      <c r="BA114" s="114" t="s">
        <v>86</v>
      </c>
      <c r="BB114" s="115" t="s">
        <v>87</v>
      </c>
    </row>
    <row r="115" spans="1:54" s="7" customFormat="1" ht="27" customHeight="1" x14ac:dyDescent="0.35">
      <c r="A115" s="414">
        <v>46113</v>
      </c>
      <c r="B115" s="507" t="s">
        <v>88</v>
      </c>
      <c r="C115" s="507"/>
      <c r="D115" s="508" t="s">
        <v>89</v>
      </c>
      <c r="E115" s="508"/>
      <c r="F115" s="508"/>
      <c r="G115" s="508"/>
      <c r="H115" s="508"/>
      <c r="I115" s="508"/>
      <c r="J115" s="508"/>
      <c r="K115" s="508"/>
      <c r="L115" s="508"/>
      <c r="M115" s="508"/>
      <c r="N115" s="508"/>
      <c r="O115" s="508"/>
      <c r="P115" s="508"/>
      <c r="Q115" s="508"/>
      <c r="R115" s="508"/>
      <c r="S115" s="508"/>
      <c r="T115" s="508"/>
      <c r="U115" s="508"/>
      <c r="V115" s="508"/>
      <c r="W115" s="508"/>
      <c r="X115" s="508"/>
      <c r="Y115" s="508"/>
      <c r="Z115" s="508"/>
      <c r="AA115" s="508"/>
      <c r="AB115" s="508"/>
      <c r="AC115" s="508"/>
      <c r="AD115" s="508"/>
      <c r="AE115" s="508"/>
      <c r="AF115" s="508"/>
      <c r="AG115" s="508"/>
      <c r="AH115" s="508"/>
      <c r="AI115" s="508"/>
      <c r="AJ115" s="508"/>
      <c r="AK115" s="415">
        <v>95.09</v>
      </c>
      <c r="AL115" s="416">
        <v>6</v>
      </c>
      <c r="AM115" s="417">
        <f>IF(AL115="CO", "CO", IF(COUNTIF(AO:AO, A115)=0, 0, (8-SUMIF(AO:AO, A115, AL:AL)) / COUNTIF(AO:AO, A115)))</f>
        <v>2</v>
      </c>
      <c r="AN115" s="399" t="s">
        <v>187</v>
      </c>
      <c r="AO115" s="408">
        <f t="shared" ref="AO115:AO144" si="7">A115</f>
        <v>46113</v>
      </c>
      <c r="AP115" s="409" t="str">
        <f t="shared" ref="AP115:AP144" si="8">LEFT(D115,6)</f>
        <v>SA3.4.</v>
      </c>
      <c r="AQ115" s="179" t="s">
        <v>91</v>
      </c>
      <c r="AR115" s="179"/>
      <c r="AS115" s="179" t="s">
        <v>125</v>
      </c>
      <c r="AT115" s="227"/>
      <c r="AU115" s="179"/>
      <c r="AV115" s="227"/>
      <c r="AW115" s="179"/>
      <c r="AX115" s="227"/>
      <c r="AY115" s="179"/>
      <c r="AZ115" s="179"/>
      <c r="BA115" s="181"/>
      <c r="BB115" s="400"/>
    </row>
    <row r="116" spans="1:54" s="7" customFormat="1" ht="27" customHeight="1" x14ac:dyDescent="0.35">
      <c r="A116" s="298">
        <v>46114</v>
      </c>
      <c r="B116" s="499" t="s">
        <v>88</v>
      </c>
      <c r="C116" s="499"/>
      <c r="D116" s="483" t="s">
        <v>89</v>
      </c>
      <c r="E116" s="483"/>
      <c r="F116" s="483"/>
      <c r="G116" s="483"/>
      <c r="H116" s="483"/>
      <c r="I116" s="483"/>
      <c r="J116" s="483"/>
      <c r="K116" s="483"/>
      <c r="L116" s="483"/>
      <c r="M116" s="483"/>
      <c r="N116" s="483"/>
      <c r="O116" s="483"/>
      <c r="P116" s="483"/>
      <c r="Q116" s="483"/>
      <c r="R116" s="483"/>
      <c r="S116" s="483"/>
      <c r="T116" s="483"/>
      <c r="U116" s="483"/>
      <c r="V116" s="483"/>
      <c r="W116" s="483"/>
      <c r="X116" s="483"/>
      <c r="Y116" s="483"/>
      <c r="Z116" s="483"/>
      <c r="AA116" s="483"/>
      <c r="AB116" s="483"/>
      <c r="AC116" s="483"/>
      <c r="AD116" s="483"/>
      <c r="AE116" s="483"/>
      <c r="AF116" s="483"/>
      <c r="AG116" s="483"/>
      <c r="AH116" s="483"/>
      <c r="AI116" s="483"/>
      <c r="AJ116" s="483"/>
      <c r="AK116" s="299">
        <v>95.09</v>
      </c>
      <c r="AL116" s="418">
        <v>6</v>
      </c>
      <c r="AM116" s="174">
        <f>IF(AL116="CO", "CO", IF(COUNTIF(AO:AO, A116)=0, 0, (8-SUMIF(AO:AO, A116, AL:AL)) / COUNTIF(AO:AO, A116)))</f>
        <v>2</v>
      </c>
      <c r="AN116" s="175" t="s">
        <v>187</v>
      </c>
      <c r="AO116" s="381">
        <f t="shared" si="7"/>
        <v>46114</v>
      </c>
      <c r="AP116" s="410" t="str">
        <f t="shared" si="8"/>
        <v>SA3.4.</v>
      </c>
      <c r="AQ116" s="179" t="s">
        <v>91</v>
      </c>
      <c r="AR116" s="179"/>
      <c r="AS116" s="179" t="s">
        <v>125</v>
      </c>
      <c r="AT116" s="227"/>
      <c r="AU116" s="179"/>
      <c r="AV116" s="180"/>
      <c r="AW116" s="179"/>
      <c r="AX116" s="102"/>
      <c r="AY116" s="179"/>
      <c r="AZ116" s="103"/>
      <c r="BA116" s="181"/>
      <c r="BB116" s="182"/>
    </row>
    <row r="117" spans="1:54" s="7" customFormat="1" ht="27" customHeight="1" x14ac:dyDescent="0.35">
      <c r="A117" s="298">
        <v>46115</v>
      </c>
      <c r="B117" s="499" t="s">
        <v>88</v>
      </c>
      <c r="C117" s="499"/>
      <c r="D117" s="483" t="s">
        <v>89</v>
      </c>
      <c r="E117" s="483"/>
      <c r="F117" s="483"/>
      <c r="G117" s="483"/>
      <c r="H117" s="483"/>
      <c r="I117" s="483"/>
      <c r="J117" s="483"/>
      <c r="K117" s="483"/>
      <c r="L117" s="483"/>
      <c r="M117" s="483"/>
      <c r="N117" s="483"/>
      <c r="O117" s="483"/>
      <c r="P117" s="483"/>
      <c r="Q117" s="483"/>
      <c r="R117" s="483"/>
      <c r="S117" s="483"/>
      <c r="T117" s="483"/>
      <c r="U117" s="483"/>
      <c r="V117" s="483"/>
      <c r="W117" s="483"/>
      <c r="X117" s="483"/>
      <c r="Y117" s="483"/>
      <c r="Z117" s="483"/>
      <c r="AA117" s="483"/>
      <c r="AB117" s="483"/>
      <c r="AC117" s="483"/>
      <c r="AD117" s="483"/>
      <c r="AE117" s="483"/>
      <c r="AF117" s="483"/>
      <c r="AG117" s="483"/>
      <c r="AH117" s="483"/>
      <c r="AI117" s="483"/>
      <c r="AJ117" s="483"/>
      <c r="AK117" s="299">
        <v>95.09</v>
      </c>
      <c r="AL117" s="418">
        <v>6</v>
      </c>
      <c r="AM117" s="174">
        <f>IF(AL117="CO", "CO", IF(COUNTIF(AO:AO, A117)=0, 0, (8-SUMIF(AO:AO, A117, AL:AL)) / COUNTIF(AO:AO, A117)))</f>
        <v>2</v>
      </c>
      <c r="AN117" s="175" t="s">
        <v>188</v>
      </c>
      <c r="AO117" s="381">
        <f t="shared" si="7"/>
        <v>46115</v>
      </c>
      <c r="AP117" s="410" t="str">
        <f t="shared" si="8"/>
        <v>SA3.4.</v>
      </c>
      <c r="AQ117" s="179" t="s">
        <v>99</v>
      </c>
      <c r="AR117" s="179" t="s">
        <v>189</v>
      </c>
      <c r="AS117" s="251" t="s">
        <v>127</v>
      </c>
      <c r="AT117" s="180"/>
      <c r="AU117" s="179"/>
      <c r="AV117" s="241" t="s">
        <v>190</v>
      </c>
      <c r="AW117" s="179"/>
      <c r="AX117" s="102"/>
      <c r="AY117" s="179"/>
      <c r="AZ117" s="228"/>
      <c r="BA117" s="181"/>
      <c r="BB117" s="182"/>
    </row>
    <row r="118" spans="1:54" s="7" customFormat="1" ht="13.9" customHeight="1" x14ac:dyDescent="0.35">
      <c r="A118" s="300">
        <v>46116</v>
      </c>
      <c r="B118" s="500"/>
      <c r="C118" s="500"/>
      <c r="D118" s="501"/>
      <c r="E118" s="501"/>
      <c r="F118" s="501"/>
      <c r="G118" s="501"/>
      <c r="H118" s="501"/>
      <c r="I118" s="501"/>
      <c r="J118" s="501"/>
      <c r="K118" s="501"/>
      <c r="L118" s="501"/>
      <c r="M118" s="501"/>
      <c r="N118" s="501"/>
      <c r="O118" s="501"/>
      <c r="P118" s="501"/>
      <c r="Q118" s="501"/>
      <c r="R118" s="501"/>
      <c r="S118" s="501"/>
      <c r="T118" s="501"/>
      <c r="U118" s="501"/>
      <c r="V118" s="501"/>
      <c r="W118" s="501"/>
      <c r="X118" s="501"/>
      <c r="Y118" s="501"/>
      <c r="Z118" s="501"/>
      <c r="AA118" s="501"/>
      <c r="AB118" s="501"/>
      <c r="AC118" s="501"/>
      <c r="AD118" s="501"/>
      <c r="AE118" s="501"/>
      <c r="AF118" s="501"/>
      <c r="AG118" s="501"/>
      <c r="AH118" s="501"/>
      <c r="AI118" s="501"/>
      <c r="AJ118" s="501"/>
      <c r="AK118" s="301"/>
      <c r="AL118" s="419"/>
      <c r="AM118" s="72"/>
      <c r="AN118" s="110"/>
      <c r="AO118" s="384">
        <f t="shared" si="7"/>
        <v>46116</v>
      </c>
      <c r="AP118" s="411" t="str">
        <f t="shared" si="8"/>
        <v/>
      </c>
      <c r="AQ118" s="105"/>
      <c r="AR118" s="138"/>
      <c r="AS118" s="105"/>
      <c r="AT118" s="108"/>
      <c r="AU118" s="105"/>
      <c r="AV118" s="108"/>
      <c r="AW118" s="105"/>
      <c r="AX118" s="106"/>
      <c r="AY118" s="105"/>
      <c r="AZ118" s="106"/>
      <c r="BA118" s="113"/>
      <c r="BB118" s="140"/>
    </row>
    <row r="119" spans="1:54" s="7" customFormat="1" ht="13.9" customHeight="1" x14ac:dyDescent="0.35">
      <c r="A119" s="300">
        <v>46117</v>
      </c>
      <c r="B119" s="500"/>
      <c r="C119" s="500"/>
      <c r="D119" s="501"/>
      <c r="E119" s="501"/>
      <c r="F119" s="501"/>
      <c r="G119" s="501"/>
      <c r="H119" s="501"/>
      <c r="I119" s="501"/>
      <c r="J119" s="501"/>
      <c r="K119" s="501"/>
      <c r="L119" s="501"/>
      <c r="M119" s="501"/>
      <c r="N119" s="501"/>
      <c r="O119" s="501"/>
      <c r="P119" s="501"/>
      <c r="Q119" s="501"/>
      <c r="R119" s="501"/>
      <c r="S119" s="501"/>
      <c r="T119" s="501"/>
      <c r="U119" s="501"/>
      <c r="V119" s="501"/>
      <c r="W119" s="501"/>
      <c r="X119" s="501"/>
      <c r="Y119" s="501"/>
      <c r="Z119" s="501"/>
      <c r="AA119" s="501"/>
      <c r="AB119" s="501"/>
      <c r="AC119" s="501"/>
      <c r="AD119" s="501"/>
      <c r="AE119" s="501"/>
      <c r="AF119" s="501"/>
      <c r="AG119" s="501"/>
      <c r="AH119" s="501"/>
      <c r="AI119" s="501"/>
      <c r="AJ119" s="501"/>
      <c r="AK119" s="301"/>
      <c r="AL119" s="419"/>
      <c r="AM119" s="72"/>
      <c r="AN119" s="110"/>
      <c r="AO119" s="384">
        <f t="shared" si="7"/>
        <v>46117</v>
      </c>
      <c r="AP119" s="411" t="str">
        <f t="shared" si="8"/>
        <v/>
      </c>
      <c r="AQ119" s="105"/>
      <c r="AR119" s="138"/>
      <c r="AS119" s="105"/>
      <c r="AT119" s="306"/>
      <c r="AU119" s="105"/>
      <c r="AV119" s="108"/>
      <c r="AW119" s="105"/>
      <c r="AX119" s="106"/>
      <c r="AY119" s="105"/>
      <c r="AZ119" s="106"/>
      <c r="BA119" s="113"/>
      <c r="BB119" s="140"/>
    </row>
    <row r="120" spans="1:54" s="7" customFormat="1" ht="27" customHeight="1" x14ac:dyDescent="0.35">
      <c r="A120" s="298">
        <v>46118</v>
      </c>
      <c r="B120" s="499" t="s">
        <v>88</v>
      </c>
      <c r="C120" s="499"/>
      <c r="D120" s="483" t="s">
        <v>89</v>
      </c>
      <c r="E120" s="483"/>
      <c r="F120" s="483"/>
      <c r="G120" s="483"/>
      <c r="H120" s="483"/>
      <c r="I120" s="483"/>
      <c r="J120" s="483"/>
      <c r="K120" s="483"/>
      <c r="L120" s="483"/>
      <c r="M120" s="483"/>
      <c r="N120" s="483"/>
      <c r="O120" s="483"/>
      <c r="P120" s="483"/>
      <c r="Q120" s="483"/>
      <c r="R120" s="483"/>
      <c r="S120" s="483"/>
      <c r="T120" s="483"/>
      <c r="U120" s="483"/>
      <c r="V120" s="483"/>
      <c r="W120" s="483"/>
      <c r="X120" s="483"/>
      <c r="Y120" s="483"/>
      <c r="Z120" s="483"/>
      <c r="AA120" s="483"/>
      <c r="AB120" s="483"/>
      <c r="AC120" s="483"/>
      <c r="AD120" s="483"/>
      <c r="AE120" s="483"/>
      <c r="AF120" s="483"/>
      <c r="AG120" s="483"/>
      <c r="AH120" s="483"/>
      <c r="AI120" s="483"/>
      <c r="AJ120" s="483"/>
      <c r="AK120" s="299">
        <v>95.09</v>
      </c>
      <c r="AL120" s="418">
        <v>6</v>
      </c>
      <c r="AM120" s="174">
        <f>IF(AL120="CO", "CO", IF(COUNTIF(AO:AO, A120)=0, 0, (8-SUMIF(AO:AO, A120, AL:AL)) / COUNTIF(AO:AO, A120)))</f>
        <v>2</v>
      </c>
      <c r="AN120" s="175" t="s">
        <v>187</v>
      </c>
      <c r="AO120" s="381">
        <f t="shared" si="7"/>
        <v>46118</v>
      </c>
      <c r="AP120" s="410" t="str">
        <f t="shared" si="8"/>
        <v>SA3.4.</v>
      </c>
      <c r="AQ120" s="179" t="s">
        <v>91</v>
      </c>
      <c r="AR120" s="183"/>
      <c r="AS120" s="179" t="s">
        <v>125</v>
      </c>
      <c r="AT120" s="180"/>
      <c r="AU120" s="179"/>
      <c r="AV120" s="180"/>
      <c r="AW120" s="179"/>
      <c r="AX120" s="180"/>
      <c r="AY120" s="179"/>
      <c r="AZ120" s="181"/>
      <c r="BA120" s="181"/>
      <c r="BB120" s="182"/>
    </row>
    <row r="121" spans="1:54" s="7" customFormat="1" ht="27" customHeight="1" x14ac:dyDescent="0.35">
      <c r="A121" s="298">
        <v>46119</v>
      </c>
      <c r="B121" s="499" t="s">
        <v>88</v>
      </c>
      <c r="C121" s="499"/>
      <c r="D121" s="483" t="s">
        <v>89</v>
      </c>
      <c r="E121" s="483"/>
      <c r="F121" s="483"/>
      <c r="G121" s="483"/>
      <c r="H121" s="483"/>
      <c r="I121" s="483"/>
      <c r="J121" s="483"/>
      <c r="K121" s="483"/>
      <c r="L121" s="483"/>
      <c r="M121" s="483"/>
      <c r="N121" s="483"/>
      <c r="O121" s="483"/>
      <c r="P121" s="483"/>
      <c r="Q121" s="483"/>
      <c r="R121" s="483"/>
      <c r="S121" s="483"/>
      <c r="T121" s="483"/>
      <c r="U121" s="483"/>
      <c r="V121" s="483"/>
      <c r="W121" s="483"/>
      <c r="X121" s="483"/>
      <c r="Y121" s="483"/>
      <c r="Z121" s="483"/>
      <c r="AA121" s="483"/>
      <c r="AB121" s="483"/>
      <c r="AC121" s="483"/>
      <c r="AD121" s="483"/>
      <c r="AE121" s="483"/>
      <c r="AF121" s="483"/>
      <c r="AG121" s="483"/>
      <c r="AH121" s="483"/>
      <c r="AI121" s="483"/>
      <c r="AJ121" s="483"/>
      <c r="AK121" s="299">
        <v>95.09</v>
      </c>
      <c r="AL121" s="418">
        <v>6</v>
      </c>
      <c r="AM121" s="174">
        <f>IF(AL121="CO", "CO", IF(COUNTIF(AO:AO, A121)=0, 0, (8-SUMIF(AO:AO, A121, AL:AL)) / COUNTIF(AO:AO, A121)))</f>
        <v>2</v>
      </c>
      <c r="AN121" s="350" t="s">
        <v>187</v>
      </c>
      <c r="AO121" s="381">
        <f t="shared" si="7"/>
        <v>46119</v>
      </c>
      <c r="AP121" s="410" t="str">
        <f t="shared" si="8"/>
        <v>SA3.4.</v>
      </c>
      <c r="AQ121" s="179" t="s">
        <v>91</v>
      </c>
      <c r="AR121" s="179"/>
      <c r="AS121" s="179" t="s">
        <v>125</v>
      </c>
      <c r="AT121" s="180"/>
      <c r="AU121" s="179"/>
      <c r="AV121" s="186"/>
      <c r="AW121" s="179"/>
      <c r="AX121" s="102"/>
      <c r="AY121" s="179"/>
      <c r="AZ121" s="179"/>
      <c r="BA121" s="181"/>
      <c r="BB121" s="182"/>
    </row>
    <row r="122" spans="1:54" s="7" customFormat="1" ht="27" customHeight="1" x14ac:dyDescent="0.35">
      <c r="A122" s="298">
        <v>46120</v>
      </c>
      <c r="B122" s="499"/>
      <c r="C122" s="499"/>
      <c r="D122" s="483"/>
      <c r="E122" s="483"/>
      <c r="F122" s="483"/>
      <c r="G122" s="483"/>
      <c r="H122" s="483"/>
      <c r="I122" s="483"/>
      <c r="J122" s="483"/>
      <c r="K122" s="483"/>
      <c r="L122" s="483"/>
      <c r="M122" s="483"/>
      <c r="N122" s="483"/>
      <c r="O122" s="483"/>
      <c r="P122" s="483"/>
      <c r="Q122" s="483"/>
      <c r="R122" s="483"/>
      <c r="S122" s="483"/>
      <c r="T122" s="483"/>
      <c r="U122" s="483"/>
      <c r="V122" s="483"/>
      <c r="W122" s="483"/>
      <c r="X122" s="483"/>
      <c r="Y122" s="483"/>
      <c r="Z122" s="483"/>
      <c r="AA122" s="483"/>
      <c r="AB122" s="483"/>
      <c r="AC122" s="483"/>
      <c r="AD122" s="483"/>
      <c r="AE122" s="483"/>
      <c r="AF122" s="483"/>
      <c r="AG122" s="483"/>
      <c r="AH122" s="483"/>
      <c r="AI122" s="483"/>
      <c r="AJ122" s="483"/>
      <c r="AK122" s="299"/>
      <c r="AL122" s="418"/>
      <c r="AM122" s="174">
        <f>IF(AL122="CO", "CO", IF(COUNTIF(AO:AO, A122)=0, 0, (8-SUMIF(AO:AO, A122, AL:AL)) / COUNTIF(AO:AO, A122)))</f>
        <v>8</v>
      </c>
      <c r="AN122" s="175"/>
      <c r="AO122" s="381">
        <f t="shared" si="7"/>
        <v>46120</v>
      </c>
      <c r="AP122" s="410" t="str">
        <f t="shared" si="8"/>
        <v/>
      </c>
      <c r="AQ122" s="179" t="s">
        <v>91</v>
      </c>
      <c r="AR122" s="179"/>
      <c r="AS122" s="179" t="s">
        <v>125</v>
      </c>
      <c r="AT122" s="180"/>
      <c r="AU122" s="179"/>
      <c r="AV122" s="180"/>
      <c r="AW122" s="179"/>
      <c r="AX122" s="102"/>
      <c r="AY122" s="179"/>
      <c r="AZ122" s="179"/>
      <c r="BA122" s="181"/>
      <c r="BB122" s="182"/>
    </row>
    <row r="123" spans="1:54" s="7" customFormat="1" ht="27" customHeight="1" x14ac:dyDescent="0.25">
      <c r="A123" s="298">
        <v>46121</v>
      </c>
      <c r="B123" s="499" t="s">
        <v>88</v>
      </c>
      <c r="C123" s="499"/>
      <c r="D123" s="483" t="s">
        <v>89</v>
      </c>
      <c r="E123" s="483"/>
      <c r="F123" s="483"/>
      <c r="G123" s="483"/>
      <c r="H123" s="483"/>
      <c r="I123" s="483"/>
      <c r="J123" s="483"/>
      <c r="K123" s="483"/>
      <c r="L123" s="483"/>
      <c r="M123" s="483"/>
      <c r="N123" s="483"/>
      <c r="O123" s="483"/>
      <c r="P123" s="483"/>
      <c r="Q123" s="483"/>
      <c r="R123" s="483"/>
      <c r="S123" s="483"/>
      <c r="T123" s="483"/>
      <c r="U123" s="483"/>
      <c r="V123" s="483"/>
      <c r="W123" s="483"/>
      <c r="X123" s="483"/>
      <c r="Y123" s="483"/>
      <c r="Z123" s="483"/>
      <c r="AA123" s="483"/>
      <c r="AB123" s="483"/>
      <c r="AC123" s="483"/>
      <c r="AD123" s="483"/>
      <c r="AE123" s="483"/>
      <c r="AF123" s="483"/>
      <c r="AG123" s="483"/>
      <c r="AH123" s="483"/>
      <c r="AI123" s="483"/>
      <c r="AJ123" s="483"/>
      <c r="AK123" s="299">
        <v>95.09</v>
      </c>
      <c r="AL123" s="418">
        <v>6</v>
      </c>
      <c r="AM123" s="187">
        <f>IF(AL123="CO", "CO", IF(COUNTIF(AO:AO, A123)=0, 0, (8-SUMIF(AO:AO, A123, AL:AL)) / COUNTIF(AO:AO, A123)))</f>
        <v>2</v>
      </c>
      <c r="AN123" s="175" t="s">
        <v>191</v>
      </c>
      <c r="AO123" s="381">
        <f t="shared" si="7"/>
        <v>46121</v>
      </c>
      <c r="AP123" s="410" t="str">
        <f t="shared" si="8"/>
        <v>SA3.4.</v>
      </c>
      <c r="AQ123" s="179" t="s">
        <v>91</v>
      </c>
      <c r="AR123" s="179"/>
      <c r="AS123" s="251" t="s">
        <v>127</v>
      </c>
      <c r="AT123" s="102"/>
      <c r="AU123" s="179"/>
      <c r="AV123" s="241" t="s">
        <v>192</v>
      </c>
      <c r="AW123" s="179"/>
      <c r="AX123" s="102"/>
      <c r="AY123" s="179"/>
      <c r="AZ123" s="179"/>
      <c r="BA123" s="181"/>
      <c r="BB123" s="182"/>
    </row>
    <row r="124" spans="1:54" s="7" customFormat="1" ht="13.9" customHeight="1" x14ac:dyDescent="0.35">
      <c r="A124" s="420">
        <v>46122</v>
      </c>
      <c r="B124" s="502"/>
      <c r="C124" s="502"/>
      <c r="D124" s="503"/>
      <c r="E124" s="503"/>
      <c r="F124" s="503"/>
      <c r="G124" s="503"/>
      <c r="H124" s="503"/>
      <c r="I124" s="503"/>
      <c r="J124" s="503"/>
      <c r="K124" s="503"/>
      <c r="L124" s="503"/>
      <c r="M124" s="503"/>
      <c r="N124" s="503"/>
      <c r="O124" s="503"/>
      <c r="P124" s="503"/>
      <c r="Q124" s="503"/>
      <c r="R124" s="503"/>
      <c r="S124" s="503"/>
      <c r="T124" s="503"/>
      <c r="U124" s="503"/>
      <c r="V124" s="503"/>
      <c r="W124" s="503"/>
      <c r="X124" s="503"/>
      <c r="Y124" s="503"/>
      <c r="Z124" s="503"/>
      <c r="AA124" s="503"/>
      <c r="AB124" s="503"/>
      <c r="AC124" s="503"/>
      <c r="AD124" s="503"/>
      <c r="AE124" s="503"/>
      <c r="AF124" s="503"/>
      <c r="AG124" s="503"/>
      <c r="AH124" s="503"/>
      <c r="AI124" s="503"/>
      <c r="AJ124" s="503"/>
      <c r="AK124" s="421"/>
      <c r="AL124" s="422"/>
      <c r="AM124" s="423"/>
      <c r="AN124" s="150"/>
      <c r="AO124" s="412">
        <f t="shared" si="7"/>
        <v>46122</v>
      </c>
      <c r="AP124" s="413" t="str">
        <f t="shared" si="8"/>
        <v/>
      </c>
      <c r="AQ124" s="146"/>
      <c r="AR124" s="146"/>
      <c r="AS124" s="146"/>
      <c r="AT124" s="193"/>
      <c r="AU124" s="146"/>
      <c r="AV124" s="147"/>
      <c r="AW124" s="146"/>
      <c r="AX124" s="147"/>
      <c r="AY124" s="146"/>
      <c r="AZ124" s="146"/>
      <c r="BA124" s="148"/>
      <c r="BB124" s="149"/>
    </row>
    <row r="125" spans="1:54" s="7" customFormat="1" ht="13.9" customHeight="1" x14ac:dyDescent="0.35">
      <c r="A125" s="300">
        <v>46123</v>
      </c>
      <c r="B125" s="500"/>
      <c r="C125" s="500"/>
      <c r="D125" s="501"/>
      <c r="E125" s="501"/>
      <c r="F125" s="501"/>
      <c r="G125" s="501"/>
      <c r="H125" s="501"/>
      <c r="I125" s="501"/>
      <c r="J125" s="501"/>
      <c r="K125" s="501"/>
      <c r="L125" s="501"/>
      <c r="M125" s="501"/>
      <c r="N125" s="501"/>
      <c r="O125" s="501"/>
      <c r="P125" s="501"/>
      <c r="Q125" s="501"/>
      <c r="R125" s="501"/>
      <c r="S125" s="501"/>
      <c r="T125" s="501"/>
      <c r="U125" s="501"/>
      <c r="V125" s="501"/>
      <c r="W125" s="501"/>
      <c r="X125" s="501"/>
      <c r="Y125" s="501"/>
      <c r="Z125" s="501"/>
      <c r="AA125" s="501"/>
      <c r="AB125" s="501"/>
      <c r="AC125" s="501"/>
      <c r="AD125" s="501"/>
      <c r="AE125" s="501"/>
      <c r="AF125" s="501"/>
      <c r="AG125" s="501"/>
      <c r="AH125" s="501"/>
      <c r="AI125" s="501"/>
      <c r="AJ125" s="501"/>
      <c r="AK125" s="301"/>
      <c r="AL125" s="419"/>
      <c r="AM125" s="67"/>
      <c r="AN125" s="110"/>
      <c r="AO125" s="384">
        <f t="shared" si="7"/>
        <v>46123</v>
      </c>
      <c r="AP125" s="411" t="str">
        <f t="shared" si="8"/>
        <v/>
      </c>
      <c r="AQ125" s="105"/>
      <c r="AR125" s="105"/>
      <c r="AS125" s="105"/>
      <c r="AT125" s="108"/>
      <c r="AU125" s="105"/>
      <c r="AV125" s="107"/>
      <c r="AW125" s="105"/>
      <c r="AX125" s="107"/>
      <c r="AY125" s="105"/>
      <c r="AZ125" s="105"/>
      <c r="BA125" s="113"/>
      <c r="BB125" s="140"/>
    </row>
    <row r="126" spans="1:54" s="7" customFormat="1" ht="13.9" customHeight="1" x14ac:dyDescent="0.35">
      <c r="A126" s="300">
        <v>46124</v>
      </c>
      <c r="B126" s="500"/>
      <c r="C126" s="500"/>
      <c r="D126" s="501"/>
      <c r="E126" s="501"/>
      <c r="F126" s="501"/>
      <c r="G126" s="501"/>
      <c r="H126" s="501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1"/>
      <c r="X126" s="501"/>
      <c r="Y126" s="501"/>
      <c r="Z126" s="501"/>
      <c r="AA126" s="501"/>
      <c r="AB126" s="501"/>
      <c r="AC126" s="501"/>
      <c r="AD126" s="501"/>
      <c r="AE126" s="501"/>
      <c r="AF126" s="501"/>
      <c r="AG126" s="501"/>
      <c r="AH126" s="501"/>
      <c r="AI126" s="501"/>
      <c r="AJ126" s="501"/>
      <c r="AK126" s="301"/>
      <c r="AL126" s="419"/>
      <c r="AM126" s="67"/>
      <c r="AN126" s="110"/>
      <c r="AO126" s="384">
        <f t="shared" si="7"/>
        <v>46124</v>
      </c>
      <c r="AP126" s="411" t="str">
        <f t="shared" si="8"/>
        <v/>
      </c>
      <c r="AQ126" s="105"/>
      <c r="AR126" s="138"/>
      <c r="AS126" s="105"/>
      <c r="AT126" s="108"/>
      <c r="AU126" s="105"/>
      <c r="AV126" s="108"/>
      <c r="AW126" s="105"/>
      <c r="AX126" s="107"/>
      <c r="AY126" s="105"/>
      <c r="AZ126" s="105"/>
      <c r="BA126" s="113"/>
      <c r="BB126" s="140"/>
    </row>
    <row r="127" spans="1:54" s="7" customFormat="1" ht="13.9" customHeight="1" x14ac:dyDescent="0.35">
      <c r="A127" s="420">
        <v>46125</v>
      </c>
      <c r="B127" s="502"/>
      <c r="C127" s="502"/>
      <c r="D127" s="503"/>
      <c r="E127" s="503"/>
      <c r="F127" s="503"/>
      <c r="G127" s="503"/>
      <c r="H127" s="503"/>
      <c r="I127" s="503"/>
      <c r="J127" s="503"/>
      <c r="K127" s="503"/>
      <c r="L127" s="503"/>
      <c r="M127" s="503"/>
      <c r="N127" s="503"/>
      <c r="O127" s="503"/>
      <c r="P127" s="503"/>
      <c r="Q127" s="503"/>
      <c r="R127" s="503"/>
      <c r="S127" s="503"/>
      <c r="T127" s="503"/>
      <c r="U127" s="503"/>
      <c r="V127" s="503"/>
      <c r="W127" s="503"/>
      <c r="X127" s="503"/>
      <c r="Y127" s="503"/>
      <c r="Z127" s="503"/>
      <c r="AA127" s="503"/>
      <c r="AB127" s="503"/>
      <c r="AC127" s="503"/>
      <c r="AD127" s="503"/>
      <c r="AE127" s="503"/>
      <c r="AF127" s="503"/>
      <c r="AG127" s="503"/>
      <c r="AH127" s="503"/>
      <c r="AI127" s="503"/>
      <c r="AJ127" s="503"/>
      <c r="AK127" s="421"/>
      <c r="AL127" s="422"/>
      <c r="AM127" s="423"/>
      <c r="AN127" s="150"/>
      <c r="AO127" s="412">
        <f t="shared" si="7"/>
        <v>46125</v>
      </c>
      <c r="AP127" s="413" t="str">
        <f t="shared" si="8"/>
        <v/>
      </c>
      <c r="AQ127" s="146"/>
      <c r="AR127" s="194"/>
      <c r="AS127" s="146"/>
      <c r="AT127" s="193"/>
      <c r="AU127" s="146"/>
      <c r="AV127" s="193"/>
      <c r="AW127" s="146"/>
      <c r="AX127" s="147"/>
      <c r="AY127" s="146"/>
      <c r="AZ127" s="146"/>
      <c r="BA127" s="148"/>
      <c r="BB127" s="149"/>
    </row>
    <row r="128" spans="1:54" s="7" customFormat="1" ht="27" customHeight="1" x14ac:dyDescent="0.35">
      <c r="A128" s="298">
        <v>46126</v>
      </c>
      <c r="B128" s="499"/>
      <c r="C128" s="499"/>
      <c r="D128" s="483"/>
      <c r="E128" s="483"/>
      <c r="F128" s="483"/>
      <c r="G128" s="483"/>
      <c r="H128" s="483"/>
      <c r="I128" s="483"/>
      <c r="J128" s="483"/>
      <c r="K128" s="483"/>
      <c r="L128" s="483"/>
      <c r="M128" s="483"/>
      <c r="N128" s="483"/>
      <c r="O128" s="483"/>
      <c r="P128" s="483"/>
      <c r="Q128" s="483"/>
      <c r="R128" s="483"/>
      <c r="S128" s="483"/>
      <c r="T128" s="483"/>
      <c r="U128" s="483"/>
      <c r="V128" s="483"/>
      <c r="W128" s="483"/>
      <c r="X128" s="483"/>
      <c r="Y128" s="483"/>
      <c r="Z128" s="483"/>
      <c r="AA128" s="483"/>
      <c r="AB128" s="483"/>
      <c r="AC128" s="483"/>
      <c r="AD128" s="483"/>
      <c r="AE128" s="483"/>
      <c r="AF128" s="483"/>
      <c r="AG128" s="483"/>
      <c r="AH128" s="483"/>
      <c r="AI128" s="483"/>
      <c r="AJ128" s="483"/>
      <c r="AK128" s="299">
        <v>95.09</v>
      </c>
      <c r="AL128" s="418" t="s">
        <v>5</v>
      </c>
      <c r="AM128" s="187" t="str">
        <f>IF(AL128="CO", "CO", IF(COUNTIF(AO:AO, A128)=0, 0, (8-SUMIF(AO:AO, A128, AL:AL)) / COUNTIF(AO:AO, A128)))</f>
        <v>CO</v>
      </c>
      <c r="AN128" s="175"/>
      <c r="AO128" s="381">
        <f t="shared" si="7"/>
        <v>46126</v>
      </c>
      <c r="AP128" s="410" t="str">
        <f t="shared" si="8"/>
        <v/>
      </c>
      <c r="AQ128" s="179"/>
      <c r="AR128" s="179"/>
      <c r="AS128" s="179"/>
      <c r="AT128" s="180"/>
      <c r="AU128" s="179"/>
      <c r="AV128" s="188"/>
      <c r="AW128" s="179"/>
      <c r="AX128" s="102"/>
      <c r="AY128" s="179"/>
      <c r="AZ128" s="179"/>
      <c r="BA128" s="181"/>
      <c r="BB128" s="182"/>
    </row>
    <row r="129" spans="1:54" s="7" customFormat="1" ht="27" customHeight="1" x14ac:dyDescent="0.35">
      <c r="A129" s="298">
        <v>46127</v>
      </c>
      <c r="B129" s="499"/>
      <c r="C129" s="499"/>
      <c r="D129" s="483"/>
      <c r="E129" s="483"/>
      <c r="F129" s="483"/>
      <c r="G129" s="483"/>
      <c r="H129" s="483"/>
      <c r="I129" s="483"/>
      <c r="J129" s="483"/>
      <c r="K129" s="483"/>
      <c r="L129" s="483"/>
      <c r="M129" s="483"/>
      <c r="N129" s="483"/>
      <c r="O129" s="483"/>
      <c r="P129" s="483"/>
      <c r="Q129" s="483"/>
      <c r="R129" s="483"/>
      <c r="S129" s="483"/>
      <c r="T129" s="483"/>
      <c r="U129" s="483"/>
      <c r="V129" s="483"/>
      <c r="W129" s="483"/>
      <c r="X129" s="483"/>
      <c r="Y129" s="483"/>
      <c r="Z129" s="483"/>
      <c r="AA129" s="483"/>
      <c r="AB129" s="483"/>
      <c r="AC129" s="483"/>
      <c r="AD129" s="483"/>
      <c r="AE129" s="483"/>
      <c r="AF129" s="483"/>
      <c r="AG129" s="483"/>
      <c r="AH129" s="483"/>
      <c r="AI129" s="483"/>
      <c r="AJ129" s="483"/>
      <c r="AK129" s="299">
        <v>95.09</v>
      </c>
      <c r="AL129" s="418" t="s">
        <v>5</v>
      </c>
      <c r="AM129" s="174" t="str">
        <f>IF(AL129="CO", "CO", IF(COUNTIF(AO:AO, A129)=0, 0, (8-SUMIF(AO:AO, A129, AL:AL)) / COUNTIF(AO:AO, A129)))</f>
        <v>CO</v>
      </c>
      <c r="AN129" s="175"/>
      <c r="AO129" s="381">
        <f t="shared" si="7"/>
        <v>46127</v>
      </c>
      <c r="AP129" s="410" t="str">
        <f t="shared" si="8"/>
        <v/>
      </c>
      <c r="AQ129" s="179"/>
      <c r="AR129" s="183"/>
      <c r="AS129" s="179"/>
      <c r="AT129" s="180"/>
      <c r="AU129" s="179"/>
      <c r="AV129" s="180"/>
      <c r="AW129" s="179"/>
      <c r="AX129" s="102"/>
      <c r="AY129" s="179"/>
      <c r="AZ129" s="179"/>
      <c r="BA129" s="181"/>
      <c r="BB129" s="182"/>
    </row>
    <row r="130" spans="1:54" s="7" customFormat="1" ht="27" customHeight="1" x14ac:dyDescent="0.35">
      <c r="A130" s="298">
        <v>46128</v>
      </c>
      <c r="B130" s="499"/>
      <c r="C130" s="499"/>
      <c r="D130" s="483"/>
      <c r="E130" s="483"/>
      <c r="F130" s="483"/>
      <c r="G130" s="483"/>
      <c r="H130" s="483"/>
      <c r="I130" s="483"/>
      <c r="J130" s="483"/>
      <c r="K130" s="483"/>
      <c r="L130" s="483"/>
      <c r="M130" s="483"/>
      <c r="N130" s="483"/>
      <c r="O130" s="483"/>
      <c r="P130" s="483"/>
      <c r="Q130" s="483"/>
      <c r="R130" s="483"/>
      <c r="S130" s="483"/>
      <c r="T130" s="483"/>
      <c r="U130" s="483"/>
      <c r="V130" s="483"/>
      <c r="W130" s="483"/>
      <c r="X130" s="483"/>
      <c r="Y130" s="483"/>
      <c r="Z130" s="483"/>
      <c r="AA130" s="483"/>
      <c r="AB130" s="483"/>
      <c r="AC130" s="483"/>
      <c r="AD130" s="483"/>
      <c r="AE130" s="483"/>
      <c r="AF130" s="483"/>
      <c r="AG130" s="483"/>
      <c r="AH130" s="483"/>
      <c r="AI130" s="483"/>
      <c r="AJ130" s="483"/>
      <c r="AK130" s="299">
        <v>95.09</v>
      </c>
      <c r="AL130" s="418" t="s">
        <v>5</v>
      </c>
      <c r="AM130" s="174" t="str">
        <f>IF(AL130="CO", "CO", IF(COUNTIF(AO:AO, A130)=0, 0, (8-SUMIF(AO:AO, A130, AL:AL)) / COUNTIF(AO:AO, A130)))</f>
        <v>CO</v>
      </c>
      <c r="AN130" s="175"/>
      <c r="AO130" s="381">
        <f t="shared" si="7"/>
        <v>46128</v>
      </c>
      <c r="AP130" s="410" t="str">
        <f t="shared" si="8"/>
        <v/>
      </c>
      <c r="AQ130" s="179"/>
      <c r="AR130" s="179"/>
      <c r="AS130" s="179"/>
      <c r="AT130" s="103"/>
      <c r="AU130" s="179"/>
      <c r="AV130" s="180"/>
      <c r="AW130" s="179"/>
      <c r="AX130" s="102"/>
      <c r="AY130" s="179"/>
      <c r="AZ130" s="179"/>
      <c r="BA130" s="181"/>
      <c r="BB130" s="182"/>
    </row>
    <row r="131" spans="1:54" s="7" customFormat="1" ht="27" customHeight="1" x14ac:dyDescent="0.35">
      <c r="A131" s="298">
        <v>46129</v>
      </c>
      <c r="B131" s="499"/>
      <c r="C131" s="499"/>
      <c r="D131" s="483"/>
      <c r="E131" s="483"/>
      <c r="F131" s="483"/>
      <c r="G131" s="483"/>
      <c r="H131" s="483"/>
      <c r="I131" s="483"/>
      <c r="J131" s="483"/>
      <c r="K131" s="483"/>
      <c r="L131" s="483"/>
      <c r="M131" s="483"/>
      <c r="N131" s="483"/>
      <c r="O131" s="483"/>
      <c r="P131" s="483"/>
      <c r="Q131" s="483"/>
      <c r="R131" s="483"/>
      <c r="S131" s="483"/>
      <c r="T131" s="483"/>
      <c r="U131" s="483"/>
      <c r="V131" s="483"/>
      <c r="W131" s="483"/>
      <c r="X131" s="483"/>
      <c r="Y131" s="483"/>
      <c r="Z131" s="483"/>
      <c r="AA131" s="483"/>
      <c r="AB131" s="483"/>
      <c r="AC131" s="483"/>
      <c r="AD131" s="483"/>
      <c r="AE131" s="483"/>
      <c r="AF131" s="483"/>
      <c r="AG131" s="483"/>
      <c r="AH131" s="483"/>
      <c r="AI131" s="483"/>
      <c r="AJ131" s="483"/>
      <c r="AK131" s="299">
        <v>95.09</v>
      </c>
      <c r="AL131" s="418" t="s">
        <v>5</v>
      </c>
      <c r="AM131" s="174" t="str">
        <f>IF(AL131="CO", "CO", IF(COUNTIF(AO:AO, A131)=0, 0, (8-SUMIF(AO:AO, A131, AL:AL)) / COUNTIF(AO:AO, A131)))</f>
        <v>CO</v>
      </c>
      <c r="AN131" s="189"/>
      <c r="AO131" s="381">
        <f t="shared" si="7"/>
        <v>46129</v>
      </c>
      <c r="AP131" s="410" t="str">
        <f t="shared" si="8"/>
        <v/>
      </c>
      <c r="AQ131" s="179"/>
      <c r="AR131" s="179"/>
      <c r="AS131" s="179"/>
      <c r="AT131" s="180"/>
      <c r="AU131" s="179"/>
      <c r="AV131" s="180"/>
      <c r="AW131" s="179"/>
      <c r="AX131" s="103"/>
      <c r="AY131" s="179"/>
      <c r="AZ131" s="179"/>
      <c r="BA131" s="181"/>
      <c r="BB131" s="182"/>
    </row>
    <row r="132" spans="1:54" s="7" customFormat="1" ht="13.9" customHeight="1" x14ac:dyDescent="0.35">
      <c r="A132" s="300">
        <v>46130</v>
      </c>
      <c r="B132" s="500"/>
      <c r="C132" s="500"/>
      <c r="D132" s="501"/>
      <c r="E132" s="501"/>
      <c r="F132" s="501"/>
      <c r="G132" s="501"/>
      <c r="H132" s="501"/>
      <c r="I132" s="501"/>
      <c r="J132" s="501"/>
      <c r="K132" s="501"/>
      <c r="L132" s="501"/>
      <c r="M132" s="501"/>
      <c r="N132" s="501"/>
      <c r="O132" s="501"/>
      <c r="P132" s="501"/>
      <c r="Q132" s="501"/>
      <c r="R132" s="501"/>
      <c r="S132" s="501"/>
      <c r="T132" s="501"/>
      <c r="U132" s="501"/>
      <c r="V132" s="501"/>
      <c r="W132" s="501"/>
      <c r="X132" s="501"/>
      <c r="Y132" s="501"/>
      <c r="Z132" s="501"/>
      <c r="AA132" s="501"/>
      <c r="AB132" s="501"/>
      <c r="AC132" s="501"/>
      <c r="AD132" s="501"/>
      <c r="AE132" s="501"/>
      <c r="AF132" s="501"/>
      <c r="AG132" s="501"/>
      <c r="AH132" s="501"/>
      <c r="AI132" s="501"/>
      <c r="AJ132" s="501"/>
      <c r="AK132" s="301"/>
      <c r="AL132" s="419"/>
      <c r="AM132" s="72"/>
      <c r="AN132" s="26"/>
      <c r="AO132" s="384">
        <f t="shared" si="7"/>
        <v>46130</v>
      </c>
      <c r="AP132" s="411" t="str">
        <f t="shared" si="8"/>
        <v/>
      </c>
      <c r="AQ132" s="105"/>
      <c r="AR132" s="105"/>
      <c r="AS132" s="105"/>
      <c r="AT132" s="108"/>
      <c r="AU132" s="105"/>
      <c r="AV132" s="108"/>
      <c r="AW132" s="105"/>
      <c r="AX132" s="107"/>
      <c r="AY132" s="105"/>
      <c r="AZ132" s="105"/>
      <c r="BA132" s="113"/>
      <c r="BB132" s="140"/>
    </row>
    <row r="133" spans="1:54" s="7" customFormat="1" ht="13.9" customHeight="1" x14ac:dyDescent="0.35">
      <c r="A133" s="300">
        <v>46131</v>
      </c>
      <c r="B133" s="500"/>
      <c r="C133" s="500"/>
      <c r="D133" s="501"/>
      <c r="E133" s="501"/>
      <c r="F133" s="501"/>
      <c r="G133" s="501"/>
      <c r="H133" s="501"/>
      <c r="I133" s="501"/>
      <c r="J133" s="501"/>
      <c r="K133" s="501"/>
      <c r="L133" s="501"/>
      <c r="M133" s="501"/>
      <c r="N133" s="501"/>
      <c r="O133" s="501"/>
      <c r="P133" s="501"/>
      <c r="Q133" s="501"/>
      <c r="R133" s="501"/>
      <c r="S133" s="501"/>
      <c r="T133" s="501"/>
      <c r="U133" s="501"/>
      <c r="V133" s="501"/>
      <c r="W133" s="501"/>
      <c r="X133" s="501"/>
      <c r="Y133" s="501"/>
      <c r="Z133" s="501"/>
      <c r="AA133" s="501"/>
      <c r="AB133" s="501"/>
      <c r="AC133" s="501"/>
      <c r="AD133" s="501"/>
      <c r="AE133" s="501"/>
      <c r="AF133" s="501"/>
      <c r="AG133" s="501"/>
      <c r="AH133" s="501"/>
      <c r="AI133" s="501"/>
      <c r="AJ133" s="501"/>
      <c r="AK133" s="301"/>
      <c r="AL133" s="419"/>
      <c r="AM133" s="72"/>
      <c r="AN133" s="26"/>
      <c r="AO133" s="384">
        <f t="shared" si="7"/>
        <v>46131</v>
      </c>
      <c r="AP133" s="411" t="str">
        <f t="shared" si="8"/>
        <v/>
      </c>
      <c r="AQ133" s="105"/>
      <c r="AR133" s="105"/>
      <c r="AS133" s="105"/>
      <c r="AT133" s="106"/>
      <c r="AU133" s="105"/>
      <c r="AV133" s="106"/>
      <c r="AW133" s="105"/>
      <c r="AX133" s="107"/>
      <c r="AY133" s="105"/>
      <c r="AZ133" s="105"/>
      <c r="BA133" s="113"/>
      <c r="BB133" s="140"/>
    </row>
    <row r="134" spans="1:54" s="7" customFormat="1" ht="27" customHeight="1" x14ac:dyDescent="0.35">
      <c r="A134" s="298">
        <v>46132</v>
      </c>
      <c r="B134" s="499" t="s">
        <v>88</v>
      </c>
      <c r="C134" s="499"/>
      <c r="D134" s="483" t="s">
        <v>89</v>
      </c>
      <c r="E134" s="483"/>
      <c r="F134" s="483"/>
      <c r="G134" s="483"/>
      <c r="H134" s="483"/>
      <c r="I134" s="483"/>
      <c r="J134" s="483"/>
      <c r="K134" s="483"/>
      <c r="L134" s="483"/>
      <c r="M134" s="483"/>
      <c r="N134" s="483"/>
      <c r="O134" s="483"/>
      <c r="P134" s="483"/>
      <c r="Q134" s="483"/>
      <c r="R134" s="483"/>
      <c r="S134" s="483"/>
      <c r="T134" s="483"/>
      <c r="U134" s="483"/>
      <c r="V134" s="483"/>
      <c r="W134" s="483"/>
      <c r="X134" s="483"/>
      <c r="Y134" s="483"/>
      <c r="Z134" s="483"/>
      <c r="AA134" s="483"/>
      <c r="AB134" s="483"/>
      <c r="AC134" s="483"/>
      <c r="AD134" s="483"/>
      <c r="AE134" s="483"/>
      <c r="AF134" s="483"/>
      <c r="AG134" s="483"/>
      <c r="AH134" s="483"/>
      <c r="AI134" s="483"/>
      <c r="AJ134" s="483"/>
      <c r="AK134" s="299">
        <v>95.09</v>
      </c>
      <c r="AL134" s="418">
        <v>6</v>
      </c>
      <c r="AM134" s="174">
        <f>IF(AL134="CO", "CO", IF(COUNTIF(AO:AO, A134)=0, 0, (8-SUMIF(AO:AO, A134, AL:AL)) / COUNTIF(AO:AO, A134)))</f>
        <v>2</v>
      </c>
      <c r="AN134" s="189" t="s">
        <v>193</v>
      </c>
      <c r="AO134" s="381">
        <f t="shared" si="7"/>
        <v>46132</v>
      </c>
      <c r="AP134" s="410" t="str">
        <f t="shared" si="8"/>
        <v>SA3.4.</v>
      </c>
      <c r="AQ134" s="179" t="s">
        <v>91</v>
      </c>
      <c r="AR134" s="179"/>
      <c r="AS134" s="179" t="s">
        <v>125</v>
      </c>
      <c r="AT134" s="180"/>
      <c r="AU134" s="179"/>
      <c r="AV134" s="180"/>
      <c r="AW134" s="179"/>
      <c r="AX134" s="102"/>
      <c r="AY134" s="179"/>
      <c r="AZ134" s="71"/>
      <c r="BA134" s="181"/>
      <c r="BB134" s="182"/>
    </row>
    <row r="135" spans="1:54" s="7" customFormat="1" ht="27" customHeight="1" x14ac:dyDescent="0.35">
      <c r="A135" s="298">
        <v>46133</v>
      </c>
      <c r="B135" s="499" t="s">
        <v>88</v>
      </c>
      <c r="C135" s="499"/>
      <c r="D135" s="483" t="s">
        <v>89</v>
      </c>
      <c r="E135" s="483"/>
      <c r="F135" s="483"/>
      <c r="G135" s="483"/>
      <c r="H135" s="483"/>
      <c r="I135" s="483"/>
      <c r="J135" s="483"/>
      <c r="K135" s="483"/>
      <c r="L135" s="483"/>
      <c r="M135" s="483"/>
      <c r="N135" s="483"/>
      <c r="O135" s="483"/>
      <c r="P135" s="483"/>
      <c r="Q135" s="483"/>
      <c r="R135" s="483"/>
      <c r="S135" s="483"/>
      <c r="T135" s="483"/>
      <c r="U135" s="483"/>
      <c r="V135" s="483"/>
      <c r="W135" s="483"/>
      <c r="X135" s="483"/>
      <c r="Y135" s="483"/>
      <c r="Z135" s="483"/>
      <c r="AA135" s="483"/>
      <c r="AB135" s="483"/>
      <c r="AC135" s="483"/>
      <c r="AD135" s="483"/>
      <c r="AE135" s="483"/>
      <c r="AF135" s="483"/>
      <c r="AG135" s="483"/>
      <c r="AH135" s="483"/>
      <c r="AI135" s="483"/>
      <c r="AJ135" s="483"/>
      <c r="AK135" s="299">
        <v>95.09</v>
      </c>
      <c r="AL135" s="418">
        <v>6</v>
      </c>
      <c r="AM135" s="174">
        <f>IF(AL135="CO", "CO", IF(COUNTIF(AO:AO, A135)=0, 0, (8-SUMIF(AO:AO, A135, AL:AL)) / COUNTIF(AO:AO, A135)))</f>
        <v>2</v>
      </c>
      <c r="AN135" s="189" t="s">
        <v>193</v>
      </c>
      <c r="AO135" s="381">
        <f t="shared" si="7"/>
        <v>46133</v>
      </c>
      <c r="AP135" s="410" t="str">
        <f t="shared" si="8"/>
        <v>SA3.4.</v>
      </c>
      <c r="AQ135" s="179" t="s">
        <v>91</v>
      </c>
      <c r="AR135" s="179"/>
      <c r="AS135" s="179" t="s">
        <v>125</v>
      </c>
      <c r="AT135" s="180"/>
      <c r="AU135" s="179"/>
      <c r="AV135" s="180"/>
      <c r="AW135" s="179"/>
      <c r="AX135" s="102"/>
      <c r="AY135" s="179"/>
      <c r="AZ135" s="71"/>
      <c r="BA135" s="181"/>
      <c r="BB135" s="182"/>
    </row>
    <row r="136" spans="1:54" s="7" customFormat="1" ht="27" customHeight="1" x14ac:dyDescent="0.35">
      <c r="A136" s="298">
        <v>46134</v>
      </c>
      <c r="B136" s="499" t="s">
        <v>88</v>
      </c>
      <c r="C136" s="499"/>
      <c r="D136" s="483" t="s">
        <v>89</v>
      </c>
      <c r="E136" s="483"/>
      <c r="F136" s="483"/>
      <c r="G136" s="483"/>
      <c r="H136" s="483"/>
      <c r="I136" s="483"/>
      <c r="J136" s="483"/>
      <c r="K136" s="483"/>
      <c r="L136" s="483"/>
      <c r="M136" s="483"/>
      <c r="N136" s="483"/>
      <c r="O136" s="483"/>
      <c r="P136" s="483"/>
      <c r="Q136" s="483"/>
      <c r="R136" s="483"/>
      <c r="S136" s="483"/>
      <c r="T136" s="483"/>
      <c r="U136" s="483"/>
      <c r="V136" s="483"/>
      <c r="W136" s="483"/>
      <c r="X136" s="483"/>
      <c r="Y136" s="483"/>
      <c r="Z136" s="483"/>
      <c r="AA136" s="483"/>
      <c r="AB136" s="483"/>
      <c r="AC136" s="483"/>
      <c r="AD136" s="483"/>
      <c r="AE136" s="483"/>
      <c r="AF136" s="483"/>
      <c r="AG136" s="483"/>
      <c r="AH136" s="483"/>
      <c r="AI136" s="483"/>
      <c r="AJ136" s="483"/>
      <c r="AK136" s="299">
        <v>95.09</v>
      </c>
      <c r="AL136" s="418">
        <v>6</v>
      </c>
      <c r="AM136" s="174">
        <f>IF(AL136="CO", "CO", IF(COUNTIF(AO:AO, A136)=0, 0, (8-SUMIF(AO:AO, A136, AL:AL)) / COUNTIF(AO:AO, A136)))</f>
        <v>2</v>
      </c>
      <c r="AN136" s="189" t="s">
        <v>194</v>
      </c>
      <c r="AO136" s="381">
        <f t="shared" si="7"/>
        <v>46134</v>
      </c>
      <c r="AP136" s="410" t="str">
        <f t="shared" si="8"/>
        <v>SA3.4.</v>
      </c>
      <c r="AQ136" s="179"/>
      <c r="AR136" s="183"/>
      <c r="AS136" s="429" t="s">
        <v>125</v>
      </c>
      <c r="AT136" s="180"/>
      <c r="AU136" s="179"/>
      <c r="AV136" s="116" t="s">
        <v>195</v>
      </c>
      <c r="AW136" s="179"/>
      <c r="AX136" s="102"/>
      <c r="AY136" s="179"/>
      <c r="AZ136" s="71"/>
      <c r="BA136" s="181"/>
      <c r="BB136" s="182"/>
    </row>
    <row r="137" spans="1:54" s="7" customFormat="1" ht="27" customHeight="1" x14ac:dyDescent="0.35">
      <c r="A137" s="298">
        <v>46135</v>
      </c>
      <c r="B137" s="499" t="s">
        <v>88</v>
      </c>
      <c r="C137" s="499"/>
      <c r="D137" s="483" t="s">
        <v>89</v>
      </c>
      <c r="E137" s="483"/>
      <c r="F137" s="483"/>
      <c r="G137" s="483"/>
      <c r="H137" s="483"/>
      <c r="I137" s="483"/>
      <c r="J137" s="483"/>
      <c r="K137" s="483"/>
      <c r="L137" s="483"/>
      <c r="M137" s="483"/>
      <c r="N137" s="483"/>
      <c r="O137" s="483"/>
      <c r="P137" s="483"/>
      <c r="Q137" s="483"/>
      <c r="R137" s="483"/>
      <c r="S137" s="483"/>
      <c r="T137" s="483"/>
      <c r="U137" s="483"/>
      <c r="V137" s="483"/>
      <c r="W137" s="483"/>
      <c r="X137" s="483"/>
      <c r="Y137" s="483"/>
      <c r="Z137" s="483"/>
      <c r="AA137" s="483"/>
      <c r="AB137" s="483"/>
      <c r="AC137" s="483"/>
      <c r="AD137" s="483"/>
      <c r="AE137" s="483"/>
      <c r="AF137" s="483"/>
      <c r="AG137" s="483"/>
      <c r="AH137" s="483"/>
      <c r="AI137" s="483"/>
      <c r="AJ137" s="483"/>
      <c r="AK137" s="299">
        <v>95.09</v>
      </c>
      <c r="AL137" s="418">
        <v>6</v>
      </c>
      <c r="AM137" s="174">
        <f>IF(AL137="CO", "CO", IF(COUNTIF(AO:AO, A137)=0, 0, (8-SUMIF(AO:AO, A137, AL:AL)) / COUNTIF(AO:AO, A137)))</f>
        <v>2</v>
      </c>
      <c r="AN137" s="189" t="s">
        <v>187</v>
      </c>
      <c r="AO137" s="381">
        <f t="shared" si="7"/>
        <v>46135</v>
      </c>
      <c r="AP137" s="410" t="str">
        <f t="shared" si="8"/>
        <v>SA3.4.</v>
      </c>
      <c r="AQ137" s="179" t="s">
        <v>91</v>
      </c>
      <c r="AR137" s="183"/>
      <c r="AS137" s="179" t="s">
        <v>125</v>
      </c>
      <c r="AT137" s="180"/>
      <c r="AU137" s="179"/>
      <c r="AV137" s="116"/>
      <c r="AW137" s="179"/>
      <c r="AX137" s="102"/>
      <c r="AY137" s="179"/>
      <c r="AZ137" s="71"/>
      <c r="BA137" s="181"/>
      <c r="BB137" s="182"/>
    </row>
    <row r="138" spans="1:54" s="7" customFormat="1" ht="27" customHeight="1" x14ac:dyDescent="0.35">
      <c r="A138" s="298">
        <v>46136</v>
      </c>
      <c r="B138" s="499" t="s">
        <v>88</v>
      </c>
      <c r="C138" s="499"/>
      <c r="D138" s="483" t="s">
        <v>89</v>
      </c>
      <c r="E138" s="483"/>
      <c r="F138" s="483"/>
      <c r="G138" s="483"/>
      <c r="H138" s="483"/>
      <c r="I138" s="483"/>
      <c r="J138" s="483"/>
      <c r="K138" s="483"/>
      <c r="L138" s="483"/>
      <c r="M138" s="483"/>
      <c r="N138" s="483"/>
      <c r="O138" s="483"/>
      <c r="P138" s="483"/>
      <c r="Q138" s="483"/>
      <c r="R138" s="483"/>
      <c r="S138" s="483"/>
      <c r="T138" s="483"/>
      <c r="U138" s="483"/>
      <c r="V138" s="483"/>
      <c r="W138" s="483"/>
      <c r="X138" s="483"/>
      <c r="Y138" s="483"/>
      <c r="Z138" s="483"/>
      <c r="AA138" s="483"/>
      <c r="AB138" s="483"/>
      <c r="AC138" s="483"/>
      <c r="AD138" s="483"/>
      <c r="AE138" s="483"/>
      <c r="AF138" s="483"/>
      <c r="AG138" s="483"/>
      <c r="AH138" s="483"/>
      <c r="AI138" s="483"/>
      <c r="AJ138" s="483"/>
      <c r="AK138" s="299">
        <v>95.09</v>
      </c>
      <c r="AL138" s="418">
        <v>6</v>
      </c>
      <c r="AM138" s="187">
        <f>IF(AL138="CO", "CO", IF(COUNTIF(AO:AO, A138)=0, 0, (8-SUMIF(AO:AO, A138, AL:AL)) / COUNTIF(AO:AO, A138)))</f>
        <v>2</v>
      </c>
      <c r="AN138" s="175" t="s">
        <v>193</v>
      </c>
      <c r="AO138" s="381">
        <f t="shared" si="7"/>
        <v>46136</v>
      </c>
      <c r="AP138" s="410" t="str">
        <f t="shared" si="8"/>
        <v>SA3.4.</v>
      </c>
      <c r="AQ138" s="179" t="s">
        <v>91</v>
      </c>
      <c r="AR138" s="179"/>
      <c r="AS138" s="179" t="s">
        <v>125</v>
      </c>
      <c r="AT138" s="180"/>
      <c r="AU138" s="179"/>
      <c r="AV138" s="180"/>
      <c r="AW138" s="179"/>
      <c r="AX138" s="102"/>
      <c r="AY138" s="179"/>
      <c r="AZ138" s="179"/>
      <c r="BA138" s="181"/>
      <c r="BB138" s="182"/>
    </row>
    <row r="139" spans="1:54" s="7" customFormat="1" ht="13.9" customHeight="1" x14ac:dyDescent="0.35">
      <c r="A139" s="300">
        <v>46137</v>
      </c>
      <c r="B139" s="500"/>
      <c r="C139" s="500"/>
      <c r="D139" s="501"/>
      <c r="E139" s="501"/>
      <c r="F139" s="501"/>
      <c r="G139" s="501"/>
      <c r="H139" s="501"/>
      <c r="I139" s="501"/>
      <c r="J139" s="501"/>
      <c r="K139" s="501"/>
      <c r="L139" s="501"/>
      <c r="M139" s="501"/>
      <c r="N139" s="501"/>
      <c r="O139" s="501"/>
      <c r="P139" s="501"/>
      <c r="Q139" s="501"/>
      <c r="R139" s="501"/>
      <c r="S139" s="501"/>
      <c r="T139" s="501"/>
      <c r="U139" s="501"/>
      <c r="V139" s="501"/>
      <c r="W139" s="501"/>
      <c r="X139" s="501"/>
      <c r="Y139" s="501"/>
      <c r="Z139" s="501"/>
      <c r="AA139" s="501"/>
      <c r="AB139" s="501"/>
      <c r="AC139" s="501"/>
      <c r="AD139" s="501"/>
      <c r="AE139" s="501"/>
      <c r="AF139" s="501"/>
      <c r="AG139" s="501"/>
      <c r="AH139" s="501"/>
      <c r="AI139" s="501"/>
      <c r="AJ139" s="501"/>
      <c r="AK139" s="301"/>
      <c r="AL139" s="419"/>
      <c r="AM139" s="67"/>
      <c r="AN139" s="110"/>
      <c r="AO139" s="384">
        <f t="shared" si="7"/>
        <v>46137</v>
      </c>
      <c r="AP139" s="411" t="str">
        <f t="shared" si="8"/>
        <v/>
      </c>
      <c r="AQ139" s="105"/>
      <c r="AR139" s="105"/>
      <c r="AS139" s="105"/>
      <c r="AT139" s="108"/>
      <c r="AU139" s="105"/>
      <c r="AV139" s="180"/>
      <c r="AW139" s="105"/>
      <c r="AX139" s="107"/>
      <c r="AY139" s="105"/>
      <c r="AZ139" s="105"/>
      <c r="BA139" s="113"/>
      <c r="BB139" s="140"/>
    </row>
    <row r="140" spans="1:54" s="7" customFormat="1" ht="13.9" customHeight="1" x14ac:dyDescent="0.35">
      <c r="A140" s="300">
        <v>46138</v>
      </c>
      <c r="B140" s="500"/>
      <c r="C140" s="500"/>
      <c r="D140" s="501"/>
      <c r="E140" s="501"/>
      <c r="F140" s="501"/>
      <c r="G140" s="501"/>
      <c r="H140" s="501"/>
      <c r="I140" s="501"/>
      <c r="J140" s="501"/>
      <c r="K140" s="501"/>
      <c r="L140" s="501"/>
      <c r="M140" s="501"/>
      <c r="N140" s="501"/>
      <c r="O140" s="501"/>
      <c r="P140" s="501"/>
      <c r="Q140" s="501"/>
      <c r="R140" s="501"/>
      <c r="S140" s="501"/>
      <c r="T140" s="501"/>
      <c r="U140" s="501"/>
      <c r="V140" s="501"/>
      <c r="W140" s="501"/>
      <c r="X140" s="501"/>
      <c r="Y140" s="501"/>
      <c r="Z140" s="501"/>
      <c r="AA140" s="501"/>
      <c r="AB140" s="501"/>
      <c r="AC140" s="501"/>
      <c r="AD140" s="501"/>
      <c r="AE140" s="501"/>
      <c r="AF140" s="501"/>
      <c r="AG140" s="501"/>
      <c r="AH140" s="501"/>
      <c r="AI140" s="501"/>
      <c r="AJ140" s="501"/>
      <c r="AK140" s="301"/>
      <c r="AL140" s="419"/>
      <c r="AM140" s="67"/>
      <c r="AN140" s="198"/>
      <c r="AO140" s="384">
        <f t="shared" si="7"/>
        <v>46138</v>
      </c>
      <c r="AP140" s="411" t="str">
        <f t="shared" si="8"/>
        <v/>
      </c>
      <c r="AQ140" s="105"/>
      <c r="AR140" s="105"/>
      <c r="AS140" s="105"/>
      <c r="AT140" s="108"/>
      <c r="AU140" s="105"/>
      <c r="AV140" s="229"/>
      <c r="AW140" s="105"/>
      <c r="AX140" s="107"/>
      <c r="AY140" s="105"/>
      <c r="AZ140" s="105"/>
      <c r="BA140" s="113"/>
      <c r="BB140" s="140"/>
    </row>
    <row r="141" spans="1:54" s="7" customFormat="1" ht="27" customHeight="1" x14ac:dyDescent="0.35">
      <c r="A141" s="298">
        <v>46139</v>
      </c>
      <c r="B141" s="499" t="s">
        <v>88</v>
      </c>
      <c r="C141" s="499"/>
      <c r="D141" s="483" t="s">
        <v>89</v>
      </c>
      <c r="E141" s="483"/>
      <c r="F141" s="483"/>
      <c r="G141" s="483"/>
      <c r="H141" s="483"/>
      <c r="I141" s="483"/>
      <c r="J141" s="483"/>
      <c r="K141" s="483"/>
      <c r="L141" s="483"/>
      <c r="M141" s="483"/>
      <c r="N141" s="483"/>
      <c r="O141" s="483"/>
      <c r="P141" s="483"/>
      <c r="Q141" s="483"/>
      <c r="R141" s="483"/>
      <c r="S141" s="483"/>
      <c r="T141" s="483"/>
      <c r="U141" s="483"/>
      <c r="V141" s="483"/>
      <c r="W141" s="483"/>
      <c r="X141" s="483"/>
      <c r="Y141" s="483"/>
      <c r="Z141" s="483"/>
      <c r="AA141" s="483"/>
      <c r="AB141" s="483"/>
      <c r="AC141" s="483"/>
      <c r="AD141" s="483"/>
      <c r="AE141" s="483"/>
      <c r="AF141" s="483"/>
      <c r="AG141" s="483"/>
      <c r="AH141" s="483"/>
      <c r="AI141" s="483"/>
      <c r="AJ141" s="483"/>
      <c r="AK141" s="299">
        <v>95.09</v>
      </c>
      <c r="AL141" s="418">
        <v>6</v>
      </c>
      <c r="AM141" s="187">
        <f>IF(AL141="CO", "CO", IF(COUNTIF(AO:AO, A141)=0, 0, (8-SUMIF(AO:AO, A141, AL:AL)) / COUNTIF(AO:AO, A141)))</f>
        <v>2</v>
      </c>
      <c r="AN141" s="175" t="s">
        <v>193</v>
      </c>
      <c r="AO141" s="381">
        <f t="shared" si="7"/>
        <v>46139</v>
      </c>
      <c r="AP141" s="410" t="str">
        <f t="shared" si="8"/>
        <v>SA3.4.</v>
      </c>
      <c r="AQ141" s="179"/>
      <c r="AR141" s="179"/>
      <c r="AS141" s="251" t="s">
        <v>127</v>
      </c>
      <c r="AT141" s="103"/>
      <c r="AU141" s="179"/>
      <c r="AV141" s="71" t="s">
        <v>196</v>
      </c>
      <c r="AW141" s="179"/>
      <c r="AX141" s="102"/>
      <c r="AY141" s="179"/>
      <c r="AZ141" s="179"/>
      <c r="BA141" s="181"/>
      <c r="BB141" s="182"/>
    </row>
    <row r="142" spans="1:54" s="7" customFormat="1" ht="27" customHeight="1" x14ac:dyDescent="0.35">
      <c r="A142" s="298">
        <v>46140</v>
      </c>
      <c r="B142" s="499" t="s">
        <v>88</v>
      </c>
      <c r="C142" s="499"/>
      <c r="D142" s="483" t="s">
        <v>94</v>
      </c>
      <c r="E142" s="483"/>
      <c r="F142" s="483"/>
      <c r="G142" s="483"/>
      <c r="H142" s="483"/>
      <c r="I142" s="483"/>
      <c r="J142" s="483"/>
      <c r="K142" s="483"/>
      <c r="L142" s="483"/>
      <c r="M142" s="483"/>
      <c r="N142" s="483"/>
      <c r="O142" s="483"/>
      <c r="P142" s="483"/>
      <c r="Q142" s="483"/>
      <c r="R142" s="483"/>
      <c r="S142" s="483"/>
      <c r="T142" s="483"/>
      <c r="U142" s="483"/>
      <c r="V142" s="483"/>
      <c r="W142" s="483"/>
      <c r="X142" s="483"/>
      <c r="Y142" s="483"/>
      <c r="Z142" s="483"/>
      <c r="AA142" s="483"/>
      <c r="AB142" s="483"/>
      <c r="AC142" s="483"/>
      <c r="AD142" s="483"/>
      <c r="AE142" s="483"/>
      <c r="AF142" s="483"/>
      <c r="AG142" s="483"/>
      <c r="AH142" s="483"/>
      <c r="AI142" s="483"/>
      <c r="AJ142" s="483"/>
      <c r="AK142" s="299">
        <v>95.09</v>
      </c>
      <c r="AL142" s="418">
        <v>6</v>
      </c>
      <c r="AM142" s="174">
        <f>IF(AL142="CO", "CO", IF(COUNTIF(AO:AO, A142)=0, 0, (8-SUMIF(AO:AO, A142, AL:AL)) / COUNTIF(AO:AO, A142)))</f>
        <v>2</v>
      </c>
      <c r="AN142" s="189" t="s">
        <v>197</v>
      </c>
      <c r="AO142" s="381">
        <f t="shared" si="7"/>
        <v>46140</v>
      </c>
      <c r="AP142" s="410" t="str">
        <f t="shared" si="8"/>
        <v>SA3.5.</v>
      </c>
      <c r="AQ142" s="179" t="s">
        <v>91</v>
      </c>
      <c r="AR142" s="179"/>
      <c r="AS142" s="179" t="s">
        <v>125</v>
      </c>
      <c r="AT142" s="180"/>
      <c r="AU142" s="179"/>
      <c r="AV142" s="180"/>
      <c r="AW142" s="179"/>
      <c r="AX142" s="102"/>
      <c r="AY142" s="179"/>
      <c r="AZ142" s="71"/>
      <c r="BA142" s="181"/>
      <c r="BB142" s="182"/>
    </row>
    <row r="143" spans="1:54" s="7" customFormat="1" ht="27" customHeight="1" x14ac:dyDescent="0.35">
      <c r="A143" s="298">
        <v>46141</v>
      </c>
      <c r="B143" s="499" t="s">
        <v>88</v>
      </c>
      <c r="C143" s="499"/>
      <c r="D143" s="483" t="s">
        <v>94</v>
      </c>
      <c r="E143" s="483"/>
      <c r="F143" s="483"/>
      <c r="G143" s="483"/>
      <c r="H143" s="483"/>
      <c r="I143" s="483"/>
      <c r="J143" s="483"/>
      <c r="K143" s="483"/>
      <c r="L143" s="483"/>
      <c r="M143" s="483"/>
      <c r="N143" s="483"/>
      <c r="O143" s="483"/>
      <c r="P143" s="483"/>
      <c r="Q143" s="483"/>
      <c r="R143" s="483"/>
      <c r="S143" s="483"/>
      <c r="T143" s="483"/>
      <c r="U143" s="483"/>
      <c r="V143" s="483"/>
      <c r="W143" s="483"/>
      <c r="X143" s="483"/>
      <c r="Y143" s="483"/>
      <c r="Z143" s="483"/>
      <c r="AA143" s="483"/>
      <c r="AB143" s="483"/>
      <c r="AC143" s="483"/>
      <c r="AD143" s="483"/>
      <c r="AE143" s="483"/>
      <c r="AF143" s="483"/>
      <c r="AG143" s="483"/>
      <c r="AH143" s="483"/>
      <c r="AI143" s="483"/>
      <c r="AJ143" s="483"/>
      <c r="AK143" s="299">
        <v>95.09</v>
      </c>
      <c r="AL143" s="418">
        <v>6</v>
      </c>
      <c r="AM143" s="174">
        <f>IF(AL143="CO", "CO", IF(COUNTIF(AO:AO, A143)=0, 0, (8-SUMIF(AO:AO, A143, AL:AL)) / COUNTIF(AO:AO, A143)))</f>
        <v>2</v>
      </c>
      <c r="AN143" s="189" t="s">
        <v>197</v>
      </c>
      <c r="AO143" s="381">
        <f t="shared" si="7"/>
        <v>46141</v>
      </c>
      <c r="AP143" s="410" t="str">
        <f t="shared" si="8"/>
        <v>SA3.5.</v>
      </c>
      <c r="AQ143" s="179" t="s">
        <v>91</v>
      </c>
      <c r="AR143" s="183"/>
      <c r="AS143" s="251" t="s">
        <v>127</v>
      </c>
      <c r="AT143" s="180"/>
      <c r="AU143" s="179"/>
      <c r="AV143" s="116" t="s">
        <v>197</v>
      </c>
      <c r="AW143" s="179"/>
      <c r="AX143" s="102"/>
      <c r="AY143" s="179"/>
      <c r="AZ143" s="71"/>
      <c r="BA143" s="181"/>
      <c r="BB143" s="182"/>
    </row>
    <row r="144" spans="1:54" s="7" customFormat="1" ht="27" customHeight="1" thickBot="1" x14ac:dyDescent="0.4">
      <c r="A144" s="424">
        <v>46142</v>
      </c>
      <c r="B144" s="482" t="s">
        <v>88</v>
      </c>
      <c r="C144" s="482"/>
      <c r="D144" s="483" t="s">
        <v>89</v>
      </c>
      <c r="E144" s="483"/>
      <c r="F144" s="483"/>
      <c r="G144" s="483"/>
      <c r="H144" s="483"/>
      <c r="I144" s="483"/>
      <c r="J144" s="483"/>
      <c r="K144" s="483"/>
      <c r="L144" s="483"/>
      <c r="M144" s="483"/>
      <c r="N144" s="483"/>
      <c r="O144" s="483"/>
      <c r="P144" s="483"/>
      <c r="Q144" s="483"/>
      <c r="R144" s="483"/>
      <c r="S144" s="483"/>
      <c r="T144" s="483"/>
      <c r="U144" s="483"/>
      <c r="V144" s="483"/>
      <c r="W144" s="483"/>
      <c r="X144" s="483"/>
      <c r="Y144" s="483"/>
      <c r="Z144" s="483"/>
      <c r="AA144" s="483"/>
      <c r="AB144" s="483"/>
      <c r="AC144" s="483"/>
      <c r="AD144" s="483"/>
      <c r="AE144" s="483"/>
      <c r="AF144" s="483"/>
      <c r="AG144" s="483"/>
      <c r="AH144" s="483"/>
      <c r="AI144" s="483"/>
      <c r="AJ144" s="483"/>
      <c r="AK144" s="425">
        <v>95.09</v>
      </c>
      <c r="AL144" s="426">
        <v>6</v>
      </c>
      <c r="AM144" s="427">
        <f>IF(AL144="CO", "CO", IF(COUNTIF(AO:AO, A144)=0, 0, (8-SUMIF(AO:AO, A144, AL:AL)) / COUNTIF(AO:AO, A144)))</f>
        <v>2</v>
      </c>
      <c r="AN144" s="262" t="s">
        <v>187</v>
      </c>
      <c r="AO144" s="389">
        <f t="shared" si="7"/>
        <v>46142</v>
      </c>
      <c r="AP144" s="390" t="str">
        <f t="shared" si="8"/>
        <v>SA3.4.</v>
      </c>
      <c r="AQ144" s="401"/>
      <c r="AR144" s="402"/>
      <c r="AS144" s="407" t="s">
        <v>127</v>
      </c>
      <c r="AT144" s="404"/>
      <c r="AU144" s="403"/>
      <c r="AV144" s="459" t="s">
        <v>187</v>
      </c>
      <c r="AW144" s="403"/>
      <c r="AX144" s="405"/>
      <c r="AY144" s="403"/>
      <c r="AZ144" s="402"/>
      <c r="BA144" s="406"/>
      <c r="BB144" s="268"/>
    </row>
    <row r="145" spans="1:48" s="7" customFormat="1" ht="15" customHeight="1" thickBot="1" x14ac:dyDescent="0.4">
      <c r="A145" s="484" t="s">
        <v>110</v>
      </c>
      <c r="B145" s="485"/>
      <c r="C145" s="485"/>
      <c r="D145" s="485"/>
      <c r="E145" s="485"/>
      <c r="F145" s="485"/>
      <c r="G145" s="485"/>
      <c r="H145" s="485"/>
      <c r="I145" s="485"/>
      <c r="J145" s="485"/>
      <c r="K145" s="485"/>
      <c r="L145" s="485"/>
      <c r="M145" s="485"/>
      <c r="N145" s="485"/>
      <c r="O145" s="485"/>
      <c r="P145" s="485"/>
      <c r="Q145" s="485"/>
      <c r="R145" s="485"/>
      <c r="S145" s="485"/>
      <c r="T145" s="485"/>
      <c r="U145" s="485"/>
      <c r="V145" s="485"/>
      <c r="W145" s="485"/>
      <c r="X145" s="485"/>
      <c r="Y145" s="485"/>
      <c r="Z145" s="485"/>
      <c r="AA145" s="485"/>
      <c r="AB145" s="485"/>
      <c r="AC145" s="485"/>
      <c r="AD145" s="485"/>
      <c r="AE145" s="485"/>
      <c r="AF145" s="485"/>
      <c r="AG145" s="485"/>
      <c r="AH145" s="485"/>
      <c r="AI145" s="485"/>
      <c r="AJ145" s="486"/>
      <c r="AK145" s="101"/>
      <c r="AL145" s="428">
        <f>SUM(AL115:AL144)+COUNTIF(AL115:AL144,"CO")*6</f>
        <v>114</v>
      </c>
      <c r="AM145" s="101">
        <f>SUM(AM115:AM144)+COUNTIF(AM115:AM144,"CO")*2</f>
        <v>46</v>
      </c>
      <c r="AO145" s="8"/>
      <c r="AP145" s="8"/>
      <c r="AV145" s="70"/>
    </row>
    <row r="146" spans="1:48" s="7" customFormat="1" x14ac:dyDescent="0.35">
      <c r="A146" s="487" t="s">
        <v>111</v>
      </c>
      <c r="B146" s="488"/>
      <c r="C146" s="488"/>
      <c r="D146" s="488"/>
      <c r="E146" s="488"/>
      <c r="F146" s="488"/>
      <c r="G146" s="488"/>
      <c r="H146" s="488"/>
      <c r="I146" s="488"/>
      <c r="J146" s="488"/>
      <c r="K146" s="488"/>
      <c r="L146" s="488"/>
      <c r="M146" s="488"/>
      <c r="N146" s="488"/>
      <c r="O146" s="488"/>
      <c r="P146" s="488"/>
      <c r="Q146" s="488"/>
      <c r="R146" s="488"/>
      <c r="S146" s="488"/>
      <c r="T146" s="488"/>
      <c r="U146" s="488"/>
      <c r="V146" s="488"/>
      <c r="W146" s="488"/>
      <c r="X146" s="488"/>
      <c r="Y146" s="488"/>
      <c r="Z146" s="488"/>
      <c r="AA146" s="488"/>
      <c r="AB146" s="488"/>
      <c r="AC146" s="488"/>
      <c r="AD146" s="488"/>
      <c r="AE146" s="488"/>
      <c r="AF146" s="488"/>
      <c r="AG146" s="488"/>
      <c r="AH146" s="488"/>
      <c r="AI146" s="488"/>
      <c r="AJ146" s="488"/>
      <c r="AK146" s="488"/>
      <c r="AL146" s="488"/>
      <c r="AM146" s="489"/>
      <c r="AO146" s="8"/>
      <c r="AP146" s="8"/>
      <c r="AV146" s="70"/>
    </row>
    <row r="147" spans="1:48" s="7" customFormat="1" ht="15" customHeight="1" thickBot="1" x14ac:dyDescent="0.4">
      <c r="A147" s="490"/>
      <c r="B147" s="491"/>
      <c r="C147" s="491"/>
      <c r="D147" s="491"/>
      <c r="E147" s="491"/>
      <c r="F147" s="491"/>
      <c r="G147" s="491"/>
      <c r="H147" s="491"/>
      <c r="I147" s="491"/>
      <c r="J147" s="491"/>
      <c r="K147" s="491"/>
      <c r="L147" s="491"/>
      <c r="M147" s="491"/>
      <c r="N147" s="491"/>
      <c r="O147" s="491"/>
      <c r="P147" s="491"/>
      <c r="Q147" s="491"/>
      <c r="R147" s="491"/>
      <c r="S147" s="491"/>
      <c r="T147" s="491"/>
      <c r="U147" s="491"/>
      <c r="V147" s="491"/>
      <c r="W147" s="491"/>
      <c r="X147" s="491"/>
      <c r="Y147" s="491"/>
      <c r="Z147" s="491"/>
      <c r="AA147" s="491"/>
      <c r="AB147" s="491"/>
      <c r="AC147" s="491"/>
      <c r="AD147" s="491"/>
      <c r="AE147" s="491"/>
      <c r="AF147" s="491"/>
      <c r="AG147" s="491"/>
      <c r="AH147" s="491"/>
      <c r="AI147" s="491"/>
      <c r="AJ147" s="491"/>
      <c r="AK147" s="491"/>
      <c r="AL147" s="491"/>
      <c r="AM147" s="492"/>
      <c r="AO147" s="8"/>
      <c r="AP147" s="8"/>
      <c r="AV147" s="70"/>
    </row>
    <row r="148" spans="1:48" s="7" customFormat="1" ht="27" customHeight="1" x14ac:dyDescent="0.35">
      <c r="A148" s="493" t="s">
        <v>112</v>
      </c>
      <c r="B148" s="494"/>
      <c r="C148" s="495"/>
      <c r="D148" s="496" t="s">
        <v>58</v>
      </c>
      <c r="E148" s="497"/>
      <c r="F148" s="497"/>
      <c r="G148" s="497"/>
      <c r="H148" s="497"/>
      <c r="I148" s="497"/>
      <c r="J148" s="497"/>
      <c r="K148" s="497"/>
      <c r="L148" s="497"/>
      <c r="M148" s="497"/>
      <c r="N148" s="497"/>
      <c r="O148" s="497"/>
      <c r="P148" s="497"/>
      <c r="Q148" s="497"/>
      <c r="R148" s="497"/>
      <c r="S148" s="497"/>
      <c r="T148" s="497"/>
      <c r="U148" s="497"/>
      <c r="V148" s="497"/>
      <c r="W148" s="497"/>
      <c r="X148" s="497"/>
      <c r="Y148" s="497"/>
      <c r="Z148" s="497"/>
      <c r="AA148" s="497"/>
      <c r="AB148" s="497"/>
      <c r="AC148" s="497"/>
      <c r="AD148" s="497"/>
      <c r="AE148" s="497"/>
      <c r="AF148" s="497"/>
      <c r="AG148" s="497"/>
      <c r="AH148" s="497"/>
      <c r="AI148" s="497"/>
      <c r="AJ148" s="497"/>
      <c r="AK148" s="497"/>
      <c r="AL148" s="497"/>
      <c r="AM148" s="498"/>
      <c r="AO148" s="8"/>
      <c r="AP148" s="8"/>
      <c r="AV148" s="70"/>
    </row>
    <row r="149" spans="1:48" s="7" customFormat="1" ht="27" customHeight="1" x14ac:dyDescent="0.35">
      <c r="A149" s="461" t="s">
        <v>113</v>
      </c>
      <c r="B149" s="462"/>
      <c r="C149" s="463"/>
      <c r="D149" s="467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  <c r="AA149" s="468"/>
      <c r="AB149" s="468"/>
      <c r="AC149" s="468"/>
      <c r="AD149" s="468"/>
      <c r="AE149" s="468"/>
      <c r="AF149" s="468"/>
      <c r="AG149" s="468"/>
      <c r="AH149" s="468"/>
      <c r="AI149" s="468"/>
      <c r="AJ149" s="468"/>
      <c r="AK149" s="468"/>
      <c r="AL149" s="468"/>
      <c r="AM149" s="469"/>
      <c r="AO149" s="8"/>
      <c r="AP149" s="8"/>
      <c r="AV149" s="70"/>
    </row>
    <row r="150" spans="1:48" s="7" customFormat="1" ht="27" customHeight="1" x14ac:dyDescent="0.35">
      <c r="A150" s="461" t="s">
        <v>114</v>
      </c>
      <c r="B150" s="462"/>
      <c r="C150" s="463"/>
      <c r="D150" s="476">
        <v>46142</v>
      </c>
      <c r="E150" s="477">
        <v>46142</v>
      </c>
      <c r="F150" s="477">
        <v>46142</v>
      </c>
      <c r="G150" s="477">
        <v>46142</v>
      </c>
      <c r="H150" s="477">
        <v>46142</v>
      </c>
      <c r="I150" s="477">
        <v>46142</v>
      </c>
      <c r="J150" s="477">
        <v>46142</v>
      </c>
      <c r="K150" s="477">
        <v>46142</v>
      </c>
      <c r="L150" s="477">
        <v>46142</v>
      </c>
      <c r="M150" s="477">
        <v>46142</v>
      </c>
      <c r="N150" s="477">
        <v>46142</v>
      </c>
      <c r="O150" s="477">
        <v>46142</v>
      </c>
      <c r="P150" s="477">
        <v>46142</v>
      </c>
      <c r="Q150" s="477">
        <v>46142</v>
      </c>
      <c r="R150" s="477">
        <v>46142</v>
      </c>
      <c r="S150" s="477">
        <v>46142</v>
      </c>
      <c r="T150" s="477">
        <v>46142</v>
      </c>
      <c r="U150" s="477">
        <v>46142</v>
      </c>
      <c r="V150" s="477">
        <v>46142</v>
      </c>
      <c r="W150" s="477">
        <v>46142</v>
      </c>
      <c r="X150" s="477">
        <v>46142</v>
      </c>
      <c r="Y150" s="477">
        <v>46142</v>
      </c>
      <c r="Z150" s="477">
        <v>46142</v>
      </c>
      <c r="AA150" s="477">
        <v>46142</v>
      </c>
      <c r="AB150" s="477">
        <v>46142</v>
      </c>
      <c r="AC150" s="477">
        <v>46142</v>
      </c>
      <c r="AD150" s="477">
        <v>46142</v>
      </c>
      <c r="AE150" s="477">
        <v>46142</v>
      </c>
      <c r="AF150" s="477">
        <v>46142</v>
      </c>
      <c r="AG150" s="477">
        <v>46142</v>
      </c>
      <c r="AH150" s="477">
        <v>46142</v>
      </c>
      <c r="AI150" s="477">
        <v>46142</v>
      </c>
      <c r="AJ150" s="477">
        <v>46142</v>
      </c>
      <c r="AK150" s="477">
        <v>46142</v>
      </c>
      <c r="AL150" s="477">
        <v>46142</v>
      </c>
      <c r="AM150" s="478">
        <v>46142</v>
      </c>
      <c r="AO150" s="8"/>
      <c r="AP150" s="8"/>
      <c r="AV150" s="70"/>
    </row>
    <row r="151" spans="1:48" s="7" customFormat="1" x14ac:dyDescent="0.35">
      <c r="A151" s="461"/>
      <c r="B151" s="462"/>
      <c r="C151" s="463"/>
      <c r="D151" s="479"/>
      <c r="E151" s="480"/>
      <c r="F151" s="480"/>
      <c r="G151" s="480"/>
      <c r="H151" s="480"/>
      <c r="I151" s="480"/>
      <c r="J151" s="480"/>
      <c r="K151" s="480"/>
      <c r="L151" s="480"/>
      <c r="M151" s="480"/>
      <c r="N151" s="480"/>
      <c r="O151" s="480"/>
      <c r="P151" s="480"/>
      <c r="Q151" s="480"/>
      <c r="R151" s="480"/>
      <c r="S151" s="480"/>
      <c r="T151" s="480"/>
      <c r="U151" s="480"/>
      <c r="V151" s="480"/>
      <c r="W151" s="480"/>
      <c r="X151" s="480"/>
      <c r="Y151" s="480"/>
      <c r="Z151" s="480"/>
      <c r="AA151" s="480"/>
      <c r="AB151" s="480"/>
      <c r="AC151" s="480"/>
      <c r="AD151" s="480"/>
      <c r="AE151" s="480"/>
      <c r="AF151" s="480"/>
      <c r="AG151" s="480"/>
      <c r="AH151" s="480"/>
      <c r="AI151" s="480"/>
      <c r="AJ151" s="480"/>
      <c r="AK151" s="480"/>
      <c r="AL151" s="480"/>
      <c r="AM151" s="481"/>
      <c r="AO151" s="8"/>
      <c r="AP151" s="8"/>
      <c r="AV151" s="70"/>
    </row>
    <row r="152" spans="1:48" s="7" customFormat="1" ht="27" customHeight="1" x14ac:dyDescent="0.35">
      <c r="A152" s="461" t="s">
        <v>115</v>
      </c>
      <c r="B152" s="462"/>
      <c r="C152" s="463"/>
      <c r="D152" s="464" t="s">
        <v>116</v>
      </c>
      <c r="E152" s="465"/>
      <c r="F152" s="465"/>
      <c r="G152" s="465"/>
      <c r="H152" s="465"/>
      <c r="I152" s="465"/>
      <c r="J152" s="465"/>
      <c r="K152" s="465"/>
      <c r="L152" s="465"/>
      <c r="M152" s="465"/>
      <c r="N152" s="465"/>
      <c r="O152" s="465"/>
      <c r="P152" s="465"/>
      <c r="Q152" s="465"/>
      <c r="R152" s="465"/>
      <c r="S152" s="465"/>
      <c r="T152" s="465"/>
      <c r="U152" s="465"/>
      <c r="V152" s="465"/>
      <c r="W152" s="465"/>
      <c r="X152" s="465"/>
      <c r="Y152" s="465"/>
      <c r="Z152" s="465"/>
      <c r="AA152" s="465"/>
      <c r="AB152" s="465"/>
      <c r="AC152" s="465"/>
      <c r="AD152" s="465"/>
      <c r="AE152" s="465"/>
      <c r="AF152" s="465"/>
      <c r="AG152" s="465"/>
      <c r="AH152" s="465"/>
      <c r="AI152" s="465"/>
      <c r="AJ152" s="465"/>
      <c r="AK152" s="465"/>
      <c r="AL152" s="465"/>
      <c r="AM152" s="466"/>
      <c r="AO152" s="8"/>
      <c r="AP152" s="8"/>
      <c r="AV152" s="70"/>
    </row>
    <row r="153" spans="1:48" s="7" customFormat="1" ht="27" customHeight="1" x14ac:dyDescent="0.35">
      <c r="A153" s="461" t="s">
        <v>113</v>
      </c>
      <c r="B153" s="462"/>
      <c r="C153" s="463"/>
      <c r="D153" s="467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  <c r="AA153" s="468"/>
      <c r="AB153" s="468"/>
      <c r="AC153" s="468"/>
      <c r="AD153" s="468"/>
      <c r="AE153" s="468"/>
      <c r="AF153" s="468"/>
      <c r="AG153" s="468"/>
      <c r="AH153" s="468"/>
      <c r="AI153" s="468"/>
      <c r="AJ153" s="468"/>
      <c r="AK153" s="468"/>
      <c r="AL153" s="468"/>
      <c r="AM153" s="469"/>
      <c r="AO153" s="8"/>
      <c r="AP153" s="8"/>
      <c r="AV153" s="70"/>
    </row>
    <row r="154" spans="1:48" s="7" customFormat="1" ht="27" customHeight="1" thickBot="1" x14ac:dyDescent="0.4">
      <c r="A154" s="470" t="s">
        <v>117</v>
      </c>
      <c r="B154" s="471"/>
      <c r="C154" s="472"/>
      <c r="D154" s="473">
        <v>46142</v>
      </c>
      <c r="E154" s="474">
        <v>46142</v>
      </c>
      <c r="F154" s="474">
        <v>46142</v>
      </c>
      <c r="G154" s="474">
        <v>46142</v>
      </c>
      <c r="H154" s="474">
        <v>46142</v>
      </c>
      <c r="I154" s="474">
        <v>46142</v>
      </c>
      <c r="J154" s="474">
        <v>46142</v>
      </c>
      <c r="K154" s="474">
        <v>46142</v>
      </c>
      <c r="L154" s="474">
        <v>46142</v>
      </c>
      <c r="M154" s="474">
        <v>46142</v>
      </c>
      <c r="N154" s="474">
        <v>46142</v>
      </c>
      <c r="O154" s="474">
        <v>46142</v>
      </c>
      <c r="P154" s="474">
        <v>46142</v>
      </c>
      <c r="Q154" s="474">
        <v>46142</v>
      </c>
      <c r="R154" s="474">
        <v>46142</v>
      </c>
      <c r="S154" s="474">
        <v>46142</v>
      </c>
      <c r="T154" s="474">
        <v>46142</v>
      </c>
      <c r="U154" s="474">
        <v>46142</v>
      </c>
      <c r="V154" s="474">
        <v>46142</v>
      </c>
      <c r="W154" s="474">
        <v>46142</v>
      </c>
      <c r="X154" s="474">
        <v>46142</v>
      </c>
      <c r="Y154" s="474">
        <v>46142</v>
      </c>
      <c r="Z154" s="474">
        <v>46142</v>
      </c>
      <c r="AA154" s="474">
        <v>46142</v>
      </c>
      <c r="AB154" s="474">
        <v>46142</v>
      </c>
      <c r="AC154" s="474">
        <v>46142</v>
      </c>
      <c r="AD154" s="474">
        <v>46142</v>
      </c>
      <c r="AE154" s="474">
        <v>46142</v>
      </c>
      <c r="AF154" s="474">
        <v>46142</v>
      </c>
      <c r="AG154" s="474">
        <v>46142</v>
      </c>
      <c r="AH154" s="474">
        <v>46142</v>
      </c>
      <c r="AI154" s="474">
        <v>46142</v>
      </c>
      <c r="AJ154" s="474">
        <v>46142</v>
      </c>
      <c r="AK154" s="474">
        <v>46142</v>
      </c>
      <c r="AL154" s="474">
        <v>46142</v>
      </c>
      <c r="AM154" s="475">
        <v>46142</v>
      </c>
      <c r="AO154" s="8"/>
      <c r="AP154" s="8"/>
      <c r="AV154" s="70"/>
    </row>
    <row r="155" spans="1:48" s="7" customFormat="1" x14ac:dyDescent="0.35">
      <c r="A155" s="460"/>
      <c r="B155" s="460"/>
      <c r="C155" s="460"/>
      <c r="D155" s="68"/>
      <c r="AO155" s="8"/>
      <c r="AP155" s="8"/>
      <c r="AV155" s="70"/>
    </row>
    <row r="156" spans="1:48" s="7" customFormat="1" x14ac:dyDescent="0.35">
      <c r="A156" s="16"/>
      <c r="AO156" s="8"/>
      <c r="AP156" s="8"/>
      <c r="AV156" s="70"/>
    </row>
    <row r="157" spans="1:48" s="7" customFormat="1" x14ac:dyDescent="0.35">
      <c r="A157" s="16"/>
      <c r="AO157" s="8"/>
      <c r="AP157" s="8"/>
      <c r="AV157" s="70"/>
    </row>
    <row r="158" spans="1:48" s="7" customFormat="1" x14ac:dyDescent="0.35">
      <c r="A158" s="16"/>
      <c r="AO158" s="8"/>
      <c r="AP158" s="8"/>
      <c r="AV158" s="70"/>
    </row>
    <row r="159" spans="1:48" s="7" customFormat="1" x14ac:dyDescent="0.35">
      <c r="A159" s="16"/>
      <c r="AO159" s="8"/>
      <c r="AP159" s="8"/>
      <c r="AV159" s="70"/>
    </row>
    <row r="160" spans="1:48" s="7" customFormat="1" x14ac:dyDescent="0.35">
      <c r="A160" s="16"/>
      <c r="AO160" s="8"/>
      <c r="AP160" s="8"/>
      <c r="AV160" s="70"/>
    </row>
    <row r="161" spans="1:48" s="7" customFormat="1" x14ac:dyDescent="0.35">
      <c r="A161" s="16"/>
      <c r="AO161" s="8"/>
      <c r="AP161" s="8"/>
      <c r="AV161" s="70"/>
    </row>
    <row r="162" spans="1:48" s="7" customFormat="1" x14ac:dyDescent="0.35">
      <c r="A162" s="16"/>
      <c r="AO162" s="8"/>
      <c r="AP162" s="8"/>
      <c r="AV162" s="70"/>
    </row>
    <row r="163" spans="1:48" s="7" customFormat="1" x14ac:dyDescent="0.35">
      <c r="A163" s="16"/>
      <c r="AO163" s="8"/>
      <c r="AP163" s="8"/>
      <c r="AV163" s="70"/>
    </row>
    <row r="164" spans="1:48" s="7" customFormat="1" x14ac:dyDescent="0.35">
      <c r="A164" s="16"/>
      <c r="AO164" s="8"/>
      <c r="AP164" s="8"/>
      <c r="AV164" s="70"/>
    </row>
    <row r="165" spans="1:48" s="7" customFormat="1" x14ac:dyDescent="0.35">
      <c r="A165" s="16"/>
      <c r="AO165" s="8"/>
      <c r="AP165" s="8"/>
      <c r="AV165" s="70"/>
    </row>
    <row r="166" spans="1:48" s="7" customFormat="1" x14ac:dyDescent="0.35">
      <c r="A166" s="16"/>
      <c r="AO166" s="8"/>
      <c r="AP166" s="8"/>
      <c r="AV166" s="70"/>
    </row>
    <row r="167" spans="1:48" s="7" customFormat="1" x14ac:dyDescent="0.35">
      <c r="A167" s="16"/>
      <c r="AO167" s="8"/>
      <c r="AP167" s="8"/>
      <c r="AV167" s="70"/>
    </row>
    <row r="168" spans="1:48" s="7" customFormat="1" x14ac:dyDescent="0.35">
      <c r="A168" s="16"/>
      <c r="AO168" s="8"/>
      <c r="AP168" s="8"/>
      <c r="AV168" s="70"/>
    </row>
    <row r="169" spans="1:48" s="7" customFormat="1" x14ac:dyDescent="0.35">
      <c r="A169" s="16"/>
      <c r="AO169" s="8"/>
      <c r="AP169" s="8"/>
      <c r="AV169" s="70"/>
    </row>
    <row r="170" spans="1:48" s="7" customFormat="1" x14ac:dyDescent="0.35">
      <c r="A170" s="16"/>
      <c r="AO170" s="8"/>
      <c r="AP170" s="8"/>
      <c r="AV170" s="70"/>
    </row>
    <row r="171" spans="1:48" s="7" customFormat="1" x14ac:dyDescent="0.35">
      <c r="A171" s="16"/>
      <c r="AO171" s="8"/>
      <c r="AP171" s="8"/>
      <c r="AV171" s="70"/>
    </row>
    <row r="172" spans="1:48" s="7" customFormat="1" x14ac:dyDescent="0.35">
      <c r="A172" s="16"/>
      <c r="AO172" s="8"/>
      <c r="AP172" s="8"/>
      <c r="AV172" s="70"/>
    </row>
    <row r="173" spans="1:48" s="7" customFormat="1" x14ac:dyDescent="0.35">
      <c r="A173" s="16"/>
      <c r="AO173" s="8"/>
      <c r="AP173" s="8"/>
      <c r="AV173" s="70"/>
    </row>
    <row r="174" spans="1:48" s="7" customFormat="1" x14ac:dyDescent="0.35">
      <c r="A174" s="16"/>
      <c r="AO174" s="8"/>
      <c r="AP174" s="8"/>
      <c r="AV174" s="70"/>
    </row>
    <row r="175" spans="1:48" s="7" customFormat="1" x14ac:dyDescent="0.35">
      <c r="A175" s="16"/>
      <c r="AO175" s="8"/>
      <c r="AP175" s="8"/>
      <c r="AV175" s="70"/>
    </row>
    <row r="176" spans="1:48" s="7" customFormat="1" x14ac:dyDescent="0.35">
      <c r="A176" s="16"/>
      <c r="AO176" s="8"/>
      <c r="AP176" s="8"/>
      <c r="AV176" s="70"/>
    </row>
    <row r="177" spans="1:48" s="7" customFormat="1" x14ac:dyDescent="0.35">
      <c r="A177" s="16"/>
      <c r="AO177" s="8"/>
      <c r="AP177" s="8"/>
      <c r="AV177" s="70"/>
    </row>
    <row r="178" spans="1:48" s="7" customFormat="1" x14ac:dyDescent="0.35">
      <c r="A178" s="16"/>
      <c r="AO178" s="8"/>
      <c r="AP178" s="8"/>
      <c r="AV178" s="70"/>
    </row>
    <row r="179" spans="1:48" s="7" customFormat="1" x14ac:dyDescent="0.35">
      <c r="A179" s="16"/>
      <c r="AO179" s="8"/>
      <c r="AP179" s="8"/>
      <c r="AV179" s="70"/>
    </row>
    <row r="180" spans="1:48" s="7" customFormat="1" x14ac:dyDescent="0.35">
      <c r="A180" s="16"/>
      <c r="AO180" s="8"/>
      <c r="AP180" s="8"/>
      <c r="AV180" s="70"/>
    </row>
    <row r="181" spans="1:48" s="7" customFormat="1" x14ac:dyDescent="0.35">
      <c r="A181" s="16"/>
      <c r="AO181" s="8"/>
      <c r="AP181" s="8"/>
      <c r="AV181" s="70"/>
    </row>
    <row r="182" spans="1:48" s="7" customFormat="1" x14ac:dyDescent="0.35">
      <c r="A182" s="16"/>
      <c r="AO182" s="8"/>
      <c r="AP182" s="8"/>
      <c r="AV182" s="70"/>
    </row>
    <row r="183" spans="1:48" s="7" customFormat="1" x14ac:dyDescent="0.35">
      <c r="A183" s="16"/>
      <c r="AO183" s="8"/>
      <c r="AP183" s="8"/>
      <c r="AV183" s="70"/>
    </row>
    <row r="184" spans="1:48" s="7" customFormat="1" x14ac:dyDescent="0.35">
      <c r="A184" s="16"/>
      <c r="AO184" s="8"/>
      <c r="AP184" s="8"/>
      <c r="AV184" s="70"/>
    </row>
    <row r="185" spans="1:48" s="7" customFormat="1" x14ac:dyDescent="0.35">
      <c r="A185" s="16"/>
      <c r="AO185" s="8"/>
      <c r="AP185" s="8"/>
      <c r="AV185" s="70"/>
    </row>
    <row r="186" spans="1:48" s="7" customFormat="1" x14ac:dyDescent="0.35">
      <c r="A186" s="16"/>
      <c r="AO186" s="8"/>
      <c r="AP186" s="8"/>
      <c r="AV186" s="70"/>
    </row>
    <row r="187" spans="1:48" s="7" customFormat="1" x14ac:dyDescent="0.35">
      <c r="A187" s="16"/>
      <c r="AO187" s="8"/>
      <c r="AP187" s="8"/>
      <c r="AV187" s="70"/>
    </row>
    <row r="188" spans="1:48" s="7" customFormat="1" x14ac:dyDescent="0.35">
      <c r="A188" s="16"/>
      <c r="AO188" s="8"/>
      <c r="AP188" s="8"/>
      <c r="AV188" s="70"/>
    </row>
    <row r="189" spans="1:48" s="7" customFormat="1" x14ac:dyDescent="0.35">
      <c r="A189" s="16"/>
      <c r="AO189" s="8"/>
      <c r="AP189" s="8"/>
      <c r="AV189" s="70"/>
    </row>
    <row r="190" spans="1:48" s="7" customFormat="1" x14ac:dyDescent="0.35">
      <c r="A190" s="16"/>
      <c r="AO190" s="8"/>
      <c r="AP190" s="8"/>
      <c r="AV190" s="70"/>
    </row>
    <row r="191" spans="1:48" x14ac:dyDescent="0.3">
      <c r="A191" s="16"/>
    </row>
    <row r="192" spans="1:48" x14ac:dyDescent="0.3">
      <c r="A192" s="16"/>
    </row>
    <row r="193" spans="1:1" x14ac:dyDescent="0.3">
      <c r="A193" s="16"/>
    </row>
    <row r="194" spans="1:1" x14ac:dyDescent="0.3">
      <c r="A194" s="16"/>
    </row>
    <row r="195" spans="1:1" x14ac:dyDescent="0.3">
      <c r="A195" s="16"/>
    </row>
  </sheetData>
  <sheetProtection formatColumns="0" formatRows="0" insertColumns="0" insertRows="0" insertHyperlinks="0" deleteColumns="0" deleteRows="0" sort="0" autoFilter="0" pivotTables="0"/>
  <protectedRanges>
    <protectedRange algorithmName="SHA-512" hashValue="7FJpRjMClRRlEDaRiv2I45XnJ5nVe6Y81mjOK27+pd76r1+ad5pIvVkVn8vpLooPef4Z+bpcH2bfqg0F/3hsww==" saltValue="Lq5joJryvX0cvidipyTKig==" spinCount="100000" sqref="AI16:AI17" name="Total ore_2_1_1"/>
  </protectedRanges>
  <autoFilter ref="A109:BB150" xr:uid="{44623BCB-289A-4E1B-87AF-F8454ABAA33E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192">
    <mergeCell ref="AJ12:AJ14"/>
    <mergeCell ref="AK12:AK14"/>
    <mergeCell ref="AL12:AL14"/>
    <mergeCell ref="I20:O20"/>
    <mergeCell ref="P20:V20"/>
    <mergeCell ref="I22:O22"/>
    <mergeCell ref="P22:V22"/>
    <mergeCell ref="B8:AF10"/>
    <mergeCell ref="B11:AF11"/>
    <mergeCell ref="A12:AF12"/>
    <mergeCell ref="AG12:AG14"/>
    <mergeCell ref="AH12:AH14"/>
    <mergeCell ref="AI12:AI14"/>
    <mergeCell ref="I28:O28"/>
    <mergeCell ref="P28:V28"/>
    <mergeCell ref="A34:K34"/>
    <mergeCell ref="R34:Y34"/>
    <mergeCell ref="A35:K35"/>
    <mergeCell ref="A36:K36"/>
    <mergeCell ref="I25:O25"/>
    <mergeCell ref="P25:V25"/>
    <mergeCell ref="I26:O26"/>
    <mergeCell ref="P26:V26"/>
    <mergeCell ref="I27:O27"/>
    <mergeCell ref="P27:V27"/>
    <mergeCell ref="F40:AF40"/>
    <mergeCell ref="AG40:AL40"/>
    <mergeCell ref="F41:AF41"/>
    <mergeCell ref="AG41:AL41"/>
    <mergeCell ref="F42:AF42"/>
    <mergeCell ref="AG42:AL42"/>
    <mergeCell ref="B38:C38"/>
    <mergeCell ref="D38:E38"/>
    <mergeCell ref="F38:AF38"/>
    <mergeCell ref="AG38:AL38"/>
    <mergeCell ref="F39:AF39"/>
    <mergeCell ref="AG39:AL39"/>
    <mergeCell ref="F46:AF46"/>
    <mergeCell ref="AG46:AL46"/>
    <mergeCell ref="F47:AF47"/>
    <mergeCell ref="AG47:AL47"/>
    <mergeCell ref="F48:AF48"/>
    <mergeCell ref="AG48:AL48"/>
    <mergeCell ref="F43:AF43"/>
    <mergeCell ref="AG43:AL43"/>
    <mergeCell ref="F44:AF44"/>
    <mergeCell ref="AG44:AL44"/>
    <mergeCell ref="F45:AF45"/>
    <mergeCell ref="AG45:AL45"/>
    <mergeCell ref="F52:AF52"/>
    <mergeCell ref="AG52:AL52"/>
    <mergeCell ref="F53:AF53"/>
    <mergeCell ref="AG53:AL53"/>
    <mergeCell ref="F54:AF54"/>
    <mergeCell ref="AG54:AL54"/>
    <mergeCell ref="F49:AF49"/>
    <mergeCell ref="AG49:AL49"/>
    <mergeCell ref="F50:AF50"/>
    <mergeCell ref="AG50:AL50"/>
    <mergeCell ref="F51:AF51"/>
    <mergeCell ref="AG51:AL51"/>
    <mergeCell ref="F58:AF58"/>
    <mergeCell ref="AG58:AL58"/>
    <mergeCell ref="F59:AF59"/>
    <mergeCell ref="AG59:AL59"/>
    <mergeCell ref="F60:AF60"/>
    <mergeCell ref="AG60:AL60"/>
    <mergeCell ref="F55:AF55"/>
    <mergeCell ref="AG55:AL55"/>
    <mergeCell ref="F56:AF56"/>
    <mergeCell ref="AG56:AL56"/>
    <mergeCell ref="F57:AF57"/>
    <mergeCell ref="AG57:AL57"/>
    <mergeCell ref="F64:AF64"/>
    <mergeCell ref="AG64:AL64"/>
    <mergeCell ref="F65:AF65"/>
    <mergeCell ref="AG65:AL65"/>
    <mergeCell ref="F66:AF66"/>
    <mergeCell ref="AG66:AL66"/>
    <mergeCell ref="F61:AF61"/>
    <mergeCell ref="AG61:AL61"/>
    <mergeCell ref="F62:AF62"/>
    <mergeCell ref="AG62:AL62"/>
    <mergeCell ref="F63:AF63"/>
    <mergeCell ref="AG63:AL63"/>
    <mergeCell ref="F67:AF67"/>
    <mergeCell ref="AG67:AL67"/>
    <mergeCell ref="F68:AF68"/>
    <mergeCell ref="AG68:AL68"/>
    <mergeCell ref="A70:A71"/>
    <mergeCell ref="B70:C70"/>
    <mergeCell ref="D70:E70"/>
    <mergeCell ref="F70:G70"/>
    <mergeCell ref="H70:I70"/>
    <mergeCell ref="J70:K70"/>
    <mergeCell ref="AN109:AN113"/>
    <mergeCell ref="A110:F110"/>
    <mergeCell ref="G110:AM110"/>
    <mergeCell ref="A111:F111"/>
    <mergeCell ref="G111:AM111"/>
    <mergeCell ref="A112:F112"/>
    <mergeCell ref="G112:AM112"/>
    <mergeCell ref="A113:F113"/>
    <mergeCell ref="L70:M70"/>
    <mergeCell ref="B71:C71"/>
    <mergeCell ref="D71:E71"/>
    <mergeCell ref="F71:G71"/>
    <mergeCell ref="H71:I71"/>
    <mergeCell ref="J71:K71"/>
    <mergeCell ref="L71:M71"/>
    <mergeCell ref="G113:AM113"/>
    <mergeCell ref="B114:C114"/>
    <mergeCell ref="D114:AJ114"/>
    <mergeCell ref="B115:C115"/>
    <mergeCell ref="D115:AJ115"/>
    <mergeCell ref="B116:C116"/>
    <mergeCell ref="D116:AJ116"/>
    <mergeCell ref="A109:F109"/>
    <mergeCell ref="G109:AM109"/>
    <mergeCell ref="B120:C120"/>
    <mergeCell ref="D120:AJ120"/>
    <mergeCell ref="B121:C121"/>
    <mergeCell ref="D121:AJ121"/>
    <mergeCell ref="B122:C122"/>
    <mergeCell ref="D122:AJ122"/>
    <mergeCell ref="B117:C117"/>
    <mergeCell ref="D117:AJ117"/>
    <mergeCell ref="B118:C118"/>
    <mergeCell ref="D118:AJ118"/>
    <mergeCell ref="B119:C119"/>
    <mergeCell ref="D119:AJ119"/>
    <mergeCell ref="B126:C126"/>
    <mergeCell ref="D126:AJ126"/>
    <mergeCell ref="B127:C127"/>
    <mergeCell ref="D127:AJ127"/>
    <mergeCell ref="B128:C128"/>
    <mergeCell ref="D128:AJ128"/>
    <mergeCell ref="B123:C123"/>
    <mergeCell ref="D123:AJ123"/>
    <mergeCell ref="B124:C124"/>
    <mergeCell ref="D124:AJ124"/>
    <mergeCell ref="B125:C125"/>
    <mergeCell ref="D125:AJ125"/>
    <mergeCell ref="B132:C132"/>
    <mergeCell ref="D132:AJ132"/>
    <mergeCell ref="B133:C133"/>
    <mergeCell ref="D133:AJ133"/>
    <mergeCell ref="B134:C134"/>
    <mergeCell ref="D134:AJ134"/>
    <mergeCell ref="B129:C129"/>
    <mergeCell ref="D129:AJ129"/>
    <mergeCell ref="B130:C130"/>
    <mergeCell ref="D130:AJ130"/>
    <mergeCell ref="B131:C131"/>
    <mergeCell ref="D131:AJ131"/>
    <mergeCell ref="B138:C138"/>
    <mergeCell ref="D138:AJ138"/>
    <mergeCell ref="B139:C139"/>
    <mergeCell ref="D139:AJ139"/>
    <mergeCell ref="B140:C140"/>
    <mergeCell ref="D140:AJ140"/>
    <mergeCell ref="B135:C135"/>
    <mergeCell ref="D135:AJ135"/>
    <mergeCell ref="B136:C136"/>
    <mergeCell ref="D136:AJ136"/>
    <mergeCell ref="B137:C137"/>
    <mergeCell ref="D137:AJ137"/>
    <mergeCell ref="B144:C144"/>
    <mergeCell ref="D144:AJ144"/>
    <mergeCell ref="A145:AJ145"/>
    <mergeCell ref="A146:AM147"/>
    <mergeCell ref="A148:C148"/>
    <mergeCell ref="D148:AM148"/>
    <mergeCell ref="B141:C141"/>
    <mergeCell ref="D141:AJ141"/>
    <mergeCell ref="B142:C142"/>
    <mergeCell ref="D142:AJ142"/>
    <mergeCell ref="B143:C143"/>
    <mergeCell ref="D143:AJ143"/>
    <mergeCell ref="A155:C155"/>
    <mergeCell ref="A152:C152"/>
    <mergeCell ref="D152:AM152"/>
    <mergeCell ref="A153:C153"/>
    <mergeCell ref="D153:AM153"/>
    <mergeCell ref="A154:C154"/>
    <mergeCell ref="D154:AM154"/>
    <mergeCell ref="A149:C149"/>
    <mergeCell ref="D149:AM149"/>
    <mergeCell ref="A150:C150"/>
    <mergeCell ref="D150:AM150"/>
    <mergeCell ref="A151:C151"/>
    <mergeCell ref="D151:AM151"/>
  </mergeCells>
  <dataValidations count="8">
    <dataValidation type="list" allowBlank="1" showInputMessage="1" showErrorMessage="1" sqref="C39:C68" xr:uid="{7427D8A5-D35B-43F2-B715-D9CEE5A3029D}">
      <formula1>"WP1,WP2,WP3,WP4"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8:AT144" xr:uid="{CDF112BC-6443-4ED2-8C5E-38DE478F7F2D}">
      <formula1>AND(AQ120="Nu", OR(AQ120="Da", AND(AQ120="Da", AR120&lt;&gt;"")), AS120&lt;&gt;"")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8:AX144" xr:uid="{8AABAC4F-4A78-4331-A95C-1026498957C9}">
      <formula1>AW120&lt;&gt;""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5:AT117" xr:uid="{AD7D17A0-A54C-4744-8920-DE64715DC27D}">
      <formula1>AND(AQ118="Nu", OR(AQ118="Da", AND(AQ118="Da", AR118&lt;&gt;"")), AS118&lt;&gt;"")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5:AX117" xr:uid="{8CDD8B0F-25FB-4CAA-A0C0-1A7F2CA4DAA7}">
      <formula1>AW118&lt;&gt;""</formula1>
    </dataValidation>
    <dataValidation type="custom" allowBlank="1" showInputMessage="1" showErrorMessage="1" errorTitle="Eroare Validare Livrabil" error="Categoria livrabilului (AU) este obligatoriu." sqref="AV115:AV117" xr:uid="{D8D57BEF-2402-47FF-BC68-5EABFA6025F5}">
      <formula1>AU118&lt;&gt;""</formula1>
    </dataValidation>
    <dataValidation type="custom" allowBlank="1" showInputMessage="1" showErrorMessage="1" errorTitle="Eroare Validare Livrabil" error="Categoria livrabilului (AU) este obligatoriu." sqref="AX120" xr:uid="{3955CC78-48CD-4453-A4DD-C51B610D6344}">
      <formula1>AU121&lt;&gt;""</formula1>
    </dataValidation>
    <dataValidation type="custom" allowBlank="1" showInputMessage="1" showErrorMessage="1" errorTitle="Eroare Validare Livrabil" error="Categoria livrabilului (AU) este obligatoriu." sqref="AV118 AV120:AV144" xr:uid="{C53C41D6-4170-4043-9C01-6535FBB1BB18}">
      <formula1>AU120&lt;&gt;""</formula1>
    </dataValidation>
  </dataValidations>
  <hyperlinks>
    <hyperlink ref="AV144" r:id="rId1" xr:uid="{55875C42-2B5E-40E0-B010-427A5CA7FC7D}"/>
    <hyperlink ref="AV117" r:id="rId2" display="Rezumat activități luna martie" xr:uid="{EA6341D1-18B1-40BE-9B12-8EF49A94AB5B}"/>
    <hyperlink ref="AV123" r:id="rId3" xr:uid="{019DB3F3-DF83-416A-A18A-4E89CE84264B}"/>
    <hyperlink ref="AV141" r:id="rId4" xr:uid="{81FF9A5A-CE68-4C6A-AFE9-D3C5C69E2E6F}"/>
    <hyperlink ref="AV143" r:id="rId5" xr:uid="{06B816AB-4B62-49CD-9D6C-407B03578BF4}"/>
    <hyperlink ref="AV136" r:id="rId6" xr:uid="{9F625334-FB68-4940-9015-B1526F7163A0}"/>
  </hyperlinks>
  <pageMargins left="0.25" right="0.25" top="0.75" bottom="0.75" header="0.3" footer="0.3"/>
  <pageSetup paperSize="9" scale="13" fitToHeight="0" orientation="portrait" r:id="rId7"/>
  <drawing r:id="rId8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373710D-DEE7-4120-8137-5DBE018EA934}">
          <x14:formula1>
            <xm:f>Activitati!$A$3:$A$5</xm:f>
          </x14:formula1>
          <xm:sqref>D115:AJ117 D120:AJ123 D128:AJ131 D141:AJ144 D134:AJ138</xm:sqref>
        </x14:dataValidation>
        <x14:dataValidation type="list" allowBlank="1" showInputMessage="1" showErrorMessage="1" xr:uid="{6FD46A6B-793A-4962-A908-79AC0CDA2527}">
          <x14:formula1>
            <xm:f>Activitati!$B$2:$B$3</xm:f>
          </x14:formula1>
          <xm:sqref>AQ115:AQ117 AQ120:AQ123 AQ128:AQ131 AQ134:AQ138 AQ141:AQ144</xm:sqref>
        </x14:dataValidation>
        <x14:dataValidation type="list" allowBlank="1" showInputMessage="1" showErrorMessage="1" xr:uid="{648FB829-658C-4ECB-BF57-B483A754F638}">
          <x14:formula1>
            <xm:f>Activitati!$C$2:$C$3</xm:f>
          </x14:formula1>
          <xm:sqref>AS115:AS117 AS120:AS123 AS128:AS131 AS134:AS138 AS141:AS144</xm:sqref>
        </x14:dataValidation>
        <x14:dataValidation type="list" allowBlank="1" showInputMessage="1" showErrorMessage="1" xr:uid="{95C10718-6E13-4B90-8BDE-2C477ADA9499}">
          <x14:formula1>
            <xm:f>Activitati!$D$2:$D$11</xm:f>
          </x14:formula1>
          <xm:sqref>AU115:AU117 AU120:AU123 AU128:AU131 AU134:AU138 AU141:AU144 AW115:AW117 AW120:AW123 AW128:AW131 AW134:AW138 AW141:AW144 AY115:AY117 AY120:AY123 AY128:AY131 AY134:AY138 AY141:AY144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F204-FC23-4FA6-A990-64551C5C14D9}">
  <sheetPr>
    <pageSetUpPr fitToPage="1"/>
  </sheetPr>
  <dimension ref="A1:BB194"/>
  <sheetViews>
    <sheetView showGridLines="0" tabSelected="1" topLeftCell="A109" zoomScale="70" zoomScaleNormal="70" workbookViewId="0">
      <selection activeCell="AN120" sqref="AN120"/>
    </sheetView>
  </sheetViews>
  <sheetFormatPr defaultColWidth="8.7265625" defaultRowHeight="13" x14ac:dyDescent="0.3"/>
  <cols>
    <col min="1" max="1" width="30.453125" style="4" customWidth="1"/>
    <col min="2" max="2" width="3.453125" style="4" customWidth="1"/>
    <col min="3" max="3" width="4.453125" style="4" customWidth="1"/>
    <col min="4" max="32" width="3.453125" style="4" customWidth="1"/>
    <col min="33" max="34" width="7.453125" style="4" customWidth="1"/>
    <col min="35" max="35" width="6.54296875" style="4" customWidth="1"/>
    <col min="36" max="36" width="6.453125" style="4" customWidth="1"/>
    <col min="37" max="37" width="7.54296875" style="4" customWidth="1"/>
    <col min="38" max="38" width="7.7265625" style="4" customWidth="1"/>
    <col min="39" max="39" width="10.7265625" style="4" customWidth="1"/>
    <col min="40" max="40" width="79.7265625" style="4" customWidth="1"/>
    <col min="41" max="41" width="25.26953125" style="5" customWidth="1"/>
    <col min="42" max="42" width="19" style="5" customWidth="1"/>
    <col min="43" max="43" width="27.7265625" style="4" customWidth="1"/>
    <col min="44" max="44" width="33" style="4" customWidth="1"/>
    <col min="45" max="45" width="44.26953125" style="4" customWidth="1"/>
    <col min="46" max="46" width="47.7265625" style="4" customWidth="1"/>
    <col min="47" max="47" width="23.26953125" style="4" customWidth="1"/>
    <col min="48" max="48" width="68.453125" style="55" customWidth="1"/>
    <col min="49" max="49" width="23.26953125" style="4" customWidth="1"/>
    <col min="50" max="50" width="53.7265625" style="4" customWidth="1"/>
    <col min="51" max="51" width="19.7265625" style="4" customWidth="1"/>
    <col min="52" max="52" width="18.26953125" style="4" customWidth="1"/>
    <col min="53" max="53" width="33.7265625" style="4" customWidth="1"/>
    <col min="54" max="54" width="34.7265625" style="4" customWidth="1"/>
    <col min="55" max="16384" width="8.7265625" style="4"/>
  </cols>
  <sheetData>
    <row r="1" spans="1:39" ht="13.5" thickBot="1" x14ac:dyDescent="0.35">
      <c r="A1" s="32" t="s">
        <v>0</v>
      </c>
      <c r="B1" s="33"/>
    </row>
    <row r="2" spans="1:39" ht="13.5" thickBot="1" x14ac:dyDescent="0.35">
      <c r="A2" s="34" t="s">
        <v>1</v>
      </c>
      <c r="B2" s="35"/>
    </row>
    <row r="3" spans="1:39" ht="13.5" thickBot="1" x14ac:dyDescent="0.35">
      <c r="A3" s="34" t="s">
        <v>2</v>
      </c>
      <c r="B3" s="36" t="s">
        <v>3</v>
      </c>
    </row>
    <row r="4" spans="1:39" ht="13.5" thickBot="1" x14ac:dyDescent="0.35">
      <c r="A4" s="34" t="s">
        <v>4</v>
      </c>
      <c r="B4" s="36" t="s">
        <v>5</v>
      </c>
    </row>
    <row r="5" spans="1:39" ht="13.5" thickBot="1" x14ac:dyDescent="0.35">
      <c r="A5" s="37" t="s">
        <v>6</v>
      </c>
      <c r="B5" s="36" t="s">
        <v>7</v>
      </c>
    </row>
    <row r="6" spans="1:39" ht="13.5" thickBot="1" x14ac:dyDescent="0.35">
      <c r="A6" s="37" t="s">
        <v>8</v>
      </c>
      <c r="B6" s="38">
        <v>8</v>
      </c>
    </row>
    <row r="7" spans="1:39" ht="13.5" thickBot="1" x14ac:dyDescent="0.35">
      <c r="A7" s="39"/>
      <c r="B7" s="40"/>
    </row>
    <row r="8" spans="1:39" ht="20.149999999999999" customHeight="1" x14ac:dyDescent="0.3">
      <c r="B8" s="564" t="s">
        <v>9</v>
      </c>
      <c r="C8" s="565"/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6"/>
    </row>
    <row r="9" spans="1:39" ht="20.149999999999999" customHeight="1" x14ac:dyDescent="0.3">
      <c r="B9" s="567"/>
      <c r="C9" s="568"/>
      <c r="D9" s="568"/>
      <c r="E9" s="568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68"/>
      <c r="Q9" s="568"/>
      <c r="R9" s="568"/>
      <c r="S9" s="568"/>
      <c r="T9" s="568"/>
      <c r="U9" s="568"/>
      <c r="V9" s="568"/>
      <c r="W9" s="568"/>
      <c r="X9" s="568"/>
      <c r="Y9" s="568"/>
      <c r="Z9" s="568"/>
      <c r="AA9" s="568"/>
      <c r="AB9" s="568"/>
      <c r="AC9" s="568"/>
      <c r="AD9" s="568"/>
      <c r="AE9" s="568"/>
      <c r="AF9" s="569"/>
    </row>
    <row r="10" spans="1:39" ht="20.149999999999999" customHeight="1" thickBot="1" x14ac:dyDescent="0.35">
      <c r="B10" s="570"/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  <c r="U10" s="571"/>
      <c r="V10" s="571"/>
      <c r="W10" s="571"/>
      <c r="X10" s="571"/>
      <c r="Y10" s="571"/>
      <c r="Z10" s="571"/>
      <c r="AA10" s="571"/>
      <c r="AB10" s="571"/>
      <c r="AC10" s="571"/>
      <c r="AD10" s="571"/>
      <c r="AE10" s="571"/>
      <c r="AF10" s="572"/>
    </row>
    <row r="11" spans="1:39" ht="15" thickBot="1" x14ac:dyDescent="0.4">
      <c r="B11" s="573" t="s">
        <v>10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41"/>
      <c r="AH11" s="42"/>
      <c r="AI11" s="41"/>
      <c r="AJ11" s="42"/>
      <c r="AK11" s="41"/>
      <c r="AL11" s="42"/>
      <c r="AM11" s="41"/>
    </row>
    <row r="12" spans="1:39" ht="13.5" thickBot="1" x14ac:dyDescent="0.35">
      <c r="A12" s="574" t="s">
        <v>198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6" t="s">
        <v>12</v>
      </c>
      <c r="AH12" s="558" t="s">
        <v>13</v>
      </c>
      <c r="AI12" s="558" t="s">
        <v>14</v>
      </c>
      <c r="AJ12" s="558" t="s">
        <v>15</v>
      </c>
      <c r="AK12" s="558" t="s">
        <v>16</v>
      </c>
      <c r="AL12" s="561" t="s">
        <v>17</v>
      </c>
      <c r="AM12" s="43"/>
    </row>
    <row r="13" spans="1:39" ht="17.149999999999999" customHeight="1" thickBot="1" x14ac:dyDescent="0.35">
      <c r="A13" s="44" t="s">
        <v>18</v>
      </c>
      <c r="B13" s="45">
        <v>1</v>
      </c>
      <c r="C13" s="47">
        <v>2</v>
      </c>
      <c r="D13" s="47">
        <v>3</v>
      </c>
      <c r="E13" s="153">
        <v>4</v>
      </c>
      <c r="F13" s="153">
        <v>5</v>
      </c>
      <c r="G13" s="153">
        <v>6</v>
      </c>
      <c r="H13" s="153">
        <v>7</v>
      </c>
      <c r="I13" s="153">
        <v>8</v>
      </c>
      <c r="J13" s="47">
        <v>9</v>
      </c>
      <c r="K13" s="47">
        <v>10</v>
      </c>
      <c r="L13" s="153">
        <v>11</v>
      </c>
      <c r="M13" s="153">
        <v>12</v>
      </c>
      <c r="N13" s="153">
        <v>13</v>
      </c>
      <c r="O13" s="153">
        <v>14</v>
      </c>
      <c r="P13" s="153">
        <v>15</v>
      </c>
      <c r="Q13" s="47">
        <v>16</v>
      </c>
      <c r="R13" s="47">
        <v>17</v>
      </c>
      <c r="S13" s="153">
        <v>18</v>
      </c>
      <c r="T13" s="153">
        <v>19</v>
      </c>
      <c r="U13" s="153">
        <v>20</v>
      </c>
      <c r="V13" s="153">
        <v>21</v>
      </c>
      <c r="W13" s="153">
        <v>22</v>
      </c>
      <c r="X13" s="47">
        <v>23</v>
      </c>
      <c r="Y13" s="47">
        <v>24</v>
      </c>
      <c r="Z13" s="153">
        <v>25</v>
      </c>
      <c r="AA13" s="153">
        <v>26</v>
      </c>
      <c r="AB13" s="153">
        <v>27</v>
      </c>
      <c r="AC13" s="153">
        <v>28</v>
      </c>
      <c r="AD13" s="153">
        <v>29</v>
      </c>
      <c r="AE13" s="47">
        <v>30</v>
      </c>
      <c r="AF13" s="47">
        <v>31</v>
      </c>
      <c r="AG13" s="577"/>
      <c r="AH13" s="579"/>
      <c r="AI13" s="559"/>
      <c r="AJ13" s="559"/>
      <c r="AK13" s="559"/>
      <c r="AL13" s="562"/>
      <c r="AM13" s="48"/>
    </row>
    <row r="14" spans="1:39" ht="20.149999999999999" customHeight="1" thickBot="1" x14ac:dyDescent="0.35">
      <c r="A14" s="49" t="s">
        <v>19</v>
      </c>
      <c r="B14" s="50" t="s">
        <v>21</v>
      </c>
      <c r="C14" s="52" t="s">
        <v>22</v>
      </c>
      <c r="D14" s="52" t="s">
        <v>23</v>
      </c>
      <c r="E14" s="51" t="s">
        <v>24</v>
      </c>
      <c r="F14" s="51" t="s">
        <v>25</v>
      </c>
      <c r="G14" s="51" t="s">
        <v>26</v>
      </c>
      <c r="H14" s="51" t="s">
        <v>20</v>
      </c>
      <c r="I14" s="51" t="s">
        <v>21</v>
      </c>
      <c r="J14" s="52" t="s">
        <v>22</v>
      </c>
      <c r="K14" s="52" t="s">
        <v>23</v>
      </c>
      <c r="L14" s="51" t="s">
        <v>24</v>
      </c>
      <c r="M14" s="51" t="s">
        <v>25</v>
      </c>
      <c r="N14" s="51" t="s">
        <v>26</v>
      </c>
      <c r="O14" s="51" t="s">
        <v>20</v>
      </c>
      <c r="P14" s="51" t="s">
        <v>21</v>
      </c>
      <c r="Q14" s="52" t="s">
        <v>22</v>
      </c>
      <c r="R14" s="52" t="s">
        <v>23</v>
      </c>
      <c r="S14" s="51" t="s">
        <v>24</v>
      </c>
      <c r="T14" s="51" t="s">
        <v>25</v>
      </c>
      <c r="U14" s="51" t="s">
        <v>26</v>
      </c>
      <c r="V14" s="51" t="s">
        <v>20</v>
      </c>
      <c r="W14" s="51" t="s">
        <v>21</v>
      </c>
      <c r="X14" s="52" t="s">
        <v>22</v>
      </c>
      <c r="Y14" s="52" t="s">
        <v>23</v>
      </c>
      <c r="Z14" s="51" t="s">
        <v>24</v>
      </c>
      <c r="AA14" s="51" t="s">
        <v>25</v>
      </c>
      <c r="AB14" s="51" t="s">
        <v>26</v>
      </c>
      <c r="AC14" s="51" t="s">
        <v>20</v>
      </c>
      <c r="AD14" s="51" t="s">
        <v>21</v>
      </c>
      <c r="AE14" s="52" t="s">
        <v>22</v>
      </c>
      <c r="AF14" s="52" t="s">
        <v>23</v>
      </c>
      <c r="AG14" s="578"/>
      <c r="AH14" s="580"/>
      <c r="AI14" s="560"/>
      <c r="AJ14" s="560"/>
      <c r="AK14" s="560"/>
      <c r="AL14" s="563"/>
      <c r="AM14" s="48"/>
    </row>
    <row r="15" spans="1:39" ht="20.149999999999999" customHeight="1" x14ac:dyDescent="0.3">
      <c r="A15" s="120" t="s">
        <v>27</v>
      </c>
      <c r="B15" s="97"/>
      <c r="C15" s="78"/>
      <c r="D15" s="78"/>
      <c r="E15" s="154">
        <f>8-SUM(E16:E17)</f>
        <v>8</v>
      </c>
      <c r="F15" s="154">
        <f t="shared" ref="F15:I15" si="0">8-SUM(F16:F17)</f>
        <v>8</v>
      </c>
      <c r="G15" s="154">
        <f t="shared" si="0"/>
        <v>8</v>
      </c>
      <c r="H15" s="154">
        <f t="shared" si="0"/>
        <v>8</v>
      </c>
      <c r="I15" s="154">
        <f t="shared" si="0"/>
        <v>4</v>
      </c>
      <c r="J15" s="78"/>
      <c r="K15" s="78"/>
      <c r="L15" s="154" t="s">
        <v>5</v>
      </c>
      <c r="M15" s="154">
        <f t="shared" ref="M15:P15" si="1">8-SUM(M16:M17)</f>
        <v>8</v>
      </c>
      <c r="N15" s="154">
        <f t="shared" si="1"/>
        <v>8</v>
      </c>
      <c r="O15" s="154">
        <f t="shared" si="1"/>
        <v>8</v>
      </c>
      <c r="P15" s="154">
        <f t="shared" si="1"/>
        <v>8</v>
      </c>
      <c r="Q15" s="78"/>
      <c r="R15" s="78"/>
      <c r="S15" s="154">
        <f t="shared" ref="S15:W15" si="2">8-SUM(S16:S17)</f>
        <v>8</v>
      </c>
      <c r="T15" s="154">
        <f t="shared" si="2"/>
        <v>8</v>
      </c>
      <c r="U15" s="154">
        <f t="shared" si="2"/>
        <v>8</v>
      </c>
      <c r="V15" s="154">
        <f t="shared" si="2"/>
        <v>8</v>
      </c>
      <c r="W15" s="154">
        <f t="shared" si="2"/>
        <v>8</v>
      </c>
      <c r="X15" s="78"/>
      <c r="Y15" s="78"/>
      <c r="Z15" s="154">
        <f t="shared" ref="Z15:AD15" si="3">8-SUM(Z16:Z17)</f>
        <v>8</v>
      </c>
      <c r="AA15" s="154">
        <f t="shared" si="3"/>
        <v>8</v>
      </c>
      <c r="AB15" s="154">
        <f t="shared" si="3"/>
        <v>8</v>
      </c>
      <c r="AC15" s="154">
        <f t="shared" si="3"/>
        <v>8</v>
      </c>
      <c r="AD15" s="154">
        <f t="shared" si="3"/>
        <v>8</v>
      </c>
      <c r="AE15" s="78"/>
      <c r="AF15" s="78"/>
      <c r="AG15" s="84">
        <f>SUM(B15:AF15)+COUNTIF(B15:AF15, "DE")*8</f>
        <v>148</v>
      </c>
      <c r="AH15" s="85">
        <f>AG15/8</f>
        <v>18.5</v>
      </c>
      <c r="AI15" s="85">
        <f>COUNTIF(B15:AF15,"CO")*2</f>
        <v>2</v>
      </c>
      <c r="AJ15" s="85">
        <f>AI15/8</f>
        <v>0.25</v>
      </c>
      <c r="AK15" s="85">
        <f>COUNTIF(B15:AF15, "CM")*8</f>
        <v>0</v>
      </c>
      <c r="AL15" s="86">
        <f>AK15/8</f>
        <v>0</v>
      </c>
      <c r="AM15" s="53"/>
    </row>
    <row r="16" spans="1:39" s="287" customFormat="1" ht="22.15" customHeight="1" x14ac:dyDescent="0.3">
      <c r="A16" s="437" t="s">
        <v>199</v>
      </c>
      <c r="B16" s="98" t="str" cm="1">
        <f t="array" ref="B16:AF16">TRANSPOSE(IF(E49:E79="","",E49:E79))</f>
        <v/>
      </c>
      <c r="C16" s="80" t="str">
        <v/>
      </c>
      <c r="D16" s="80" t="str">
        <v/>
      </c>
      <c r="E16" s="155" t="str">
        <v/>
      </c>
      <c r="F16" s="155" t="str">
        <v/>
      </c>
      <c r="G16" s="155" t="str">
        <v/>
      </c>
      <c r="H16" s="155" t="str">
        <v/>
      </c>
      <c r="I16" s="155" t="str">
        <v/>
      </c>
      <c r="J16" s="80" t="str">
        <v/>
      </c>
      <c r="K16" s="80" t="str">
        <v/>
      </c>
      <c r="L16" s="155" t="str">
        <v/>
      </c>
      <c r="M16" s="155" t="str">
        <v/>
      </c>
      <c r="N16" s="155" t="str">
        <v/>
      </c>
      <c r="O16" s="155" t="str">
        <v/>
      </c>
      <c r="P16" s="155" t="str">
        <v/>
      </c>
      <c r="Q16" s="80" t="str">
        <v/>
      </c>
      <c r="R16" s="80" t="str">
        <v/>
      </c>
      <c r="S16" s="155" t="str">
        <v/>
      </c>
      <c r="T16" s="155" t="str">
        <v/>
      </c>
      <c r="U16" s="155" t="str">
        <v/>
      </c>
      <c r="V16" s="155" t="str">
        <v/>
      </c>
      <c r="W16" s="155" t="str">
        <v/>
      </c>
      <c r="X16" s="80" t="str">
        <v/>
      </c>
      <c r="Y16" s="80" t="str">
        <v/>
      </c>
      <c r="Z16" s="155" t="str">
        <v/>
      </c>
      <c r="AA16" s="155" t="str">
        <v/>
      </c>
      <c r="AB16" s="155" t="str">
        <v/>
      </c>
      <c r="AC16" s="155" t="str">
        <v/>
      </c>
      <c r="AD16" s="155" t="str">
        <v/>
      </c>
      <c r="AE16" s="80" t="str">
        <v/>
      </c>
      <c r="AF16" s="80" t="str">
        <v/>
      </c>
      <c r="AG16" s="87">
        <f>SUM(B16:AF16)+COUNTIF(B16:AF16, "DE")*8</f>
        <v>0</v>
      </c>
      <c r="AH16" s="438">
        <f>AG16/8</f>
        <v>0</v>
      </c>
      <c r="AI16" s="88">
        <v>0</v>
      </c>
      <c r="AJ16" s="88">
        <f>AI16/8</f>
        <v>0</v>
      </c>
      <c r="AK16" s="88">
        <f>COUNTIF(B16:AF16, "CM")*8</f>
        <v>0</v>
      </c>
      <c r="AL16" s="89">
        <f>AK16/8</f>
        <v>0</v>
      </c>
    </row>
    <row r="17" spans="1:39" ht="26.25" customHeight="1" thickBot="1" x14ac:dyDescent="0.35">
      <c r="A17" s="109" t="s">
        <v>29</v>
      </c>
      <c r="B17" s="99"/>
      <c r="C17" s="82"/>
      <c r="D17" s="82"/>
      <c r="E17" s="156">
        <f>SUMIFS($AL$113:$AL$143,$A$113:$A$143,"="&amp;DATE(2026,5,E13))</f>
        <v>0</v>
      </c>
      <c r="F17" s="156">
        <f>SUMIFS($AL$113:$AL$143,$A$113:$A$143,"="&amp;DATE(2026,5,F13))</f>
        <v>0</v>
      </c>
      <c r="G17" s="156">
        <f>SUMIFS($AL$113:$AL$143,$A$113:$A$143,"="&amp;DATE(2026,5,G13))</f>
        <v>0</v>
      </c>
      <c r="H17" s="156">
        <f>SUMIFS($AL$113:$AL$143,$A$113:$A$143,"="&amp;DATE(2026,5,H13))</f>
        <v>0</v>
      </c>
      <c r="I17" s="156">
        <f>SUMIFS($AL$113:$AL$143,$A$113:$A$143,"="&amp;DATE(2026,5,I13))</f>
        <v>4</v>
      </c>
      <c r="J17" s="82"/>
      <c r="K17" s="82"/>
      <c r="L17" s="156" t="s">
        <v>5</v>
      </c>
      <c r="M17" s="156">
        <f>SUMIFS($AL$113:$AL$143,$A$113:$A$143,"="&amp;DATE(2026,5,M13))</f>
        <v>0</v>
      </c>
      <c r="N17" s="156">
        <f>SUMIFS($AL$113:$AL$143,$A$113:$A$143,"="&amp;DATE(2026,5,N13))</f>
        <v>0</v>
      </c>
      <c r="O17" s="156">
        <f>SUMIFS($AL$113:$AL$143,$A$113:$A$143,"="&amp;DATE(2026,5,O13))</f>
        <v>0</v>
      </c>
      <c r="P17" s="156">
        <f>SUMIFS($AL$113:$AL$143,$A$113:$A$143,"="&amp;DATE(2026,5,P13))</f>
        <v>0</v>
      </c>
      <c r="Q17" s="82"/>
      <c r="R17" s="82"/>
      <c r="S17" s="156">
        <f>SUMIFS($AL$113:$AL$143,$A$113:$A$143,"="&amp;DATE(2026,5,S13))</f>
        <v>0</v>
      </c>
      <c r="T17" s="156">
        <f>SUMIFS($AL$113:$AL$143,$A$113:$A$143,"="&amp;DATE(2026,5,T13))</f>
        <v>0</v>
      </c>
      <c r="U17" s="156">
        <f>SUMIFS($AL$113:$AL$143,$A$113:$A$143,"="&amp;DATE(2026,5,U13))</f>
        <v>0</v>
      </c>
      <c r="V17" s="156">
        <f>SUMIFS($AL$113:$AL$143,$A$113:$A$143,"="&amp;DATE(2026,5,V13))</f>
        <v>0</v>
      </c>
      <c r="W17" s="156">
        <f>SUMIFS($AL$113:$AL$143,$A$113:$A$143,"="&amp;DATE(2026,5,W13))</f>
        <v>0</v>
      </c>
      <c r="X17" s="82"/>
      <c r="Y17" s="82"/>
      <c r="Z17" s="156">
        <f>SUMIFS($AL$113:$AL$143,$A$113:$A$143,"="&amp;DATE(2026,5,Z13))</f>
        <v>0</v>
      </c>
      <c r="AA17" s="156">
        <f>SUMIFS($AL$113:$AL$143,$A$113:$A$143,"="&amp;DATE(2026,5,AA13))</f>
        <v>0</v>
      </c>
      <c r="AB17" s="156">
        <f>SUMIFS($AL$113:$AL$143,$A$113:$A$143,"="&amp;DATE(2026,5,AB13))</f>
        <v>0</v>
      </c>
      <c r="AC17" s="156">
        <f>SUMIFS($AL$113:$AL$143,$A$113:$A$143,"="&amp;DATE(2026,5,AC13))</f>
        <v>0</v>
      </c>
      <c r="AD17" s="156">
        <f>SUMIFS($AL$113:$AL$143,$A$113:$A$143,"="&amp;DATE(2026,5,AD13))</f>
        <v>0</v>
      </c>
      <c r="AE17" s="82"/>
      <c r="AF17" s="82"/>
      <c r="AG17" s="90">
        <f>SUM(B17:AF17)+COUNTIF(B17:AF17, "DE")*8</f>
        <v>4</v>
      </c>
      <c r="AH17" s="91">
        <f>AG17/8</f>
        <v>0.5</v>
      </c>
      <c r="AI17" s="91">
        <f>COUNTIF(B17:AF17,"CO")*6</f>
        <v>6</v>
      </c>
      <c r="AJ17" s="91">
        <f>AI17/8</f>
        <v>0.75</v>
      </c>
      <c r="AK17" s="91">
        <f>COUNTIF(B17:AF17, "CM")*8</f>
        <v>0</v>
      </c>
      <c r="AL17" s="92">
        <f>AK17/8</f>
        <v>0</v>
      </c>
      <c r="AM17" s="53"/>
    </row>
    <row r="18" spans="1:39" ht="17.25" customHeight="1" thickBot="1" x14ac:dyDescent="0.35">
      <c r="A18" s="54" t="s">
        <v>30</v>
      </c>
      <c r="B18" s="152"/>
      <c r="C18" s="121"/>
      <c r="D18" s="121"/>
      <c r="E18" s="122">
        <f>SUM(E15:E17)</f>
        <v>8</v>
      </c>
      <c r="F18" s="122">
        <f>SUM(F15:F17)</f>
        <v>8</v>
      </c>
      <c r="G18" s="122">
        <f>SUM(G15:G17)</f>
        <v>8</v>
      </c>
      <c r="H18" s="122">
        <f>SUM(H15:H17)</f>
        <v>8</v>
      </c>
      <c r="I18" s="122">
        <f>SUM(I15:I17)</f>
        <v>8</v>
      </c>
      <c r="J18" s="121"/>
      <c r="K18" s="121"/>
      <c r="L18" s="122">
        <f>SUM(L15:L17)</f>
        <v>0</v>
      </c>
      <c r="M18" s="122">
        <f>SUM(M15:M17)</f>
        <v>8</v>
      </c>
      <c r="N18" s="122">
        <f>SUM(N15:N17)</f>
        <v>8</v>
      </c>
      <c r="O18" s="122">
        <f>SUM(O15:O17)</f>
        <v>8</v>
      </c>
      <c r="P18" s="122">
        <f>SUM(P15:P17)</f>
        <v>8</v>
      </c>
      <c r="Q18" s="121"/>
      <c r="R18" s="121"/>
      <c r="S18" s="122">
        <f>SUM(S15:S17)</f>
        <v>8</v>
      </c>
      <c r="T18" s="122">
        <f>SUM(T15:T17)</f>
        <v>8</v>
      </c>
      <c r="U18" s="122">
        <f>SUM(U15:U17)</f>
        <v>8</v>
      </c>
      <c r="V18" s="122">
        <f>SUM(V15:V17)</f>
        <v>8</v>
      </c>
      <c r="W18" s="122">
        <f>SUM(W15:W17)</f>
        <v>8</v>
      </c>
      <c r="X18" s="121"/>
      <c r="Y18" s="121"/>
      <c r="Z18" s="122">
        <f>SUM(Z15:Z17)</f>
        <v>8</v>
      </c>
      <c r="AA18" s="122">
        <f>SUM(AA15:AA17)</f>
        <v>8</v>
      </c>
      <c r="AB18" s="122">
        <f>SUM(AB15:AB17)</f>
        <v>8</v>
      </c>
      <c r="AC18" s="122">
        <f>SUM(AC15:AC17)</f>
        <v>8</v>
      </c>
      <c r="AD18" s="122">
        <f>SUM(AD15:AD17)</f>
        <v>8</v>
      </c>
      <c r="AE18" s="121"/>
      <c r="AF18" s="121"/>
      <c r="AG18" s="93">
        <f t="shared" ref="AG18:AL18" si="4">SUM(AG15:AG17)</f>
        <v>152</v>
      </c>
      <c r="AH18" s="94">
        <f t="shared" si="4"/>
        <v>19</v>
      </c>
      <c r="AI18" s="94">
        <f t="shared" si="4"/>
        <v>8</v>
      </c>
      <c r="AJ18" s="94">
        <f t="shared" si="4"/>
        <v>1</v>
      </c>
      <c r="AK18" s="94">
        <f t="shared" si="4"/>
        <v>0</v>
      </c>
      <c r="AL18" s="95">
        <f t="shared" si="4"/>
        <v>0</v>
      </c>
      <c r="AM18" s="53"/>
    </row>
    <row r="20" spans="1:39" x14ac:dyDescent="0.3">
      <c r="A20" s="5"/>
      <c r="I20" s="522" t="s">
        <v>31</v>
      </c>
      <c r="J20" s="522"/>
      <c r="K20" s="522"/>
      <c r="L20" s="522"/>
      <c r="M20" s="522"/>
      <c r="N20" s="522"/>
      <c r="O20" s="522"/>
      <c r="P20" s="545" t="s">
        <v>32</v>
      </c>
      <c r="Q20" s="545"/>
      <c r="R20" s="545"/>
      <c r="S20" s="545"/>
      <c r="T20" s="545"/>
      <c r="U20" s="545"/>
      <c r="V20" s="545"/>
    </row>
    <row r="22" spans="1:39" x14ac:dyDescent="0.3">
      <c r="I22" s="544" t="s">
        <v>33</v>
      </c>
      <c r="J22" s="544"/>
      <c r="K22" s="544"/>
      <c r="L22" s="544"/>
      <c r="M22" s="544"/>
      <c r="N22" s="544"/>
      <c r="O22" s="544"/>
      <c r="P22" s="545"/>
      <c r="Q22" s="545"/>
      <c r="R22" s="545"/>
      <c r="S22" s="545"/>
      <c r="T22" s="545"/>
      <c r="U22" s="545"/>
      <c r="V22" s="545"/>
    </row>
    <row r="23" spans="1:39" x14ac:dyDescent="0.3">
      <c r="I23" s="5"/>
      <c r="J23" s="5"/>
      <c r="K23" s="5"/>
      <c r="L23" s="5"/>
      <c r="M23" s="5"/>
      <c r="N23" s="5"/>
      <c r="O23" s="5"/>
    </row>
    <row r="24" spans="1:39" x14ac:dyDescent="0.3">
      <c r="I24" s="5"/>
      <c r="J24" s="5"/>
      <c r="K24" s="5"/>
      <c r="L24" s="5"/>
      <c r="M24" s="5"/>
      <c r="N24" s="5"/>
      <c r="O24" s="5"/>
    </row>
    <row r="25" spans="1:39" x14ac:dyDescent="0.3">
      <c r="I25" s="522" t="s">
        <v>34</v>
      </c>
      <c r="J25" s="522"/>
      <c r="K25" s="522"/>
      <c r="L25" s="522"/>
      <c r="M25" s="522"/>
      <c r="N25" s="522"/>
      <c r="O25" s="522"/>
      <c r="P25" s="545" t="s">
        <v>32</v>
      </c>
      <c r="Q25" s="545"/>
      <c r="R25" s="545"/>
      <c r="S25" s="545"/>
      <c r="T25" s="545"/>
      <c r="U25" s="545"/>
      <c r="V25" s="545"/>
    </row>
    <row r="26" spans="1:39" x14ac:dyDescent="0.3">
      <c r="I26" s="544" t="s">
        <v>35</v>
      </c>
      <c r="J26" s="544"/>
      <c r="K26" s="544"/>
      <c r="L26" s="544"/>
      <c r="M26" s="544"/>
      <c r="N26" s="544"/>
      <c r="O26" s="544"/>
      <c r="P26" s="545"/>
      <c r="Q26" s="545"/>
      <c r="R26" s="545"/>
      <c r="S26" s="545"/>
      <c r="T26" s="545"/>
      <c r="U26" s="545"/>
      <c r="V26" s="545"/>
    </row>
    <row r="27" spans="1:39" x14ac:dyDescent="0.3">
      <c r="I27" s="544" t="s">
        <v>36</v>
      </c>
      <c r="J27" s="544"/>
      <c r="K27" s="544"/>
      <c r="L27" s="544"/>
      <c r="M27" s="544"/>
      <c r="N27" s="544"/>
      <c r="O27" s="544"/>
      <c r="P27" s="545"/>
      <c r="Q27" s="545"/>
      <c r="R27" s="545"/>
      <c r="S27" s="545"/>
      <c r="T27" s="545"/>
      <c r="U27" s="545"/>
      <c r="V27" s="545"/>
    </row>
    <row r="28" spans="1:39" x14ac:dyDescent="0.3">
      <c r="I28" s="544" t="s">
        <v>33</v>
      </c>
      <c r="J28" s="544"/>
      <c r="K28" s="544"/>
      <c r="L28" s="544"/>
      <c r="M28" s="544"/>
      <c r="N28" s="544"/>
      <c r="O28" s="544"/>
      <c r="P28" s="545"/>
      <c r="Q28" s="545"/>
      <c r="R28" s="545"/>
      <c r="S28" s="545"/>
      <c r="T28" s="545"/>
      <c r="U28" s="545"/>
      <c r="V28" s="545"/>
    </row>
    <row r="29" spans="1:39" x14ac:dyDescent="0.3">
      <c r="I29" s="6"/>
      <c r="J29" s="6"/>
      <c r="K29" s="6"/>
      <c r="L29" s="6"/>
      <c r="M29" s="6"/>
      <c r="N29" s="6"/>
      <c r="O29" s="6"/>
      <c r="P29" s="5"/>
      <c r="Q29" s="5"/>
      <c r="R29" s="5"/>
      <c r="S29" s="5"/>
      <c r="T29" s="5"/>
      <c r="U29" s="5"/>
      <c r="V29" s="5"/>
    </row>
    <row r="30" spans="1:39" x14ac:dyDescent="0.3">
      <c r="I30" s="6"/>
      <c r="J30" s="6"/>
      <c r="K30" s="6"/>
      <c r="L30" s="6"/>
      <c r="M30" s="6"/>
      <c r="N30" s="6"/>
      <c r="O30" s="6"/>
      <c r="P30" s="5"/>
      <c r="Q30" s="5"/>
      <c r="R30" s="5"/>
      <c r="S30" s="5"/>
      <c r="T30" s="5"/>
      <c r="U30" s="5"/>
      <c r="V30" s="5"/>
    </row>
    <row r="31" spans="1:39" x14ac:dyDescent="0.3">
      <c r="I31" s="6"/>
      <c r="J31" s="6"/>
      <c r="K31" s="6"/>
      <c r="L31" s="6"/>
      <c r="M31" s="6"/>
      <c r="N31" s="6"/>
      <c r="O31" s="6"/>
      <c r="P31" s="5"/>
      <c r="Q31" s="5"/>
      <c r="R31" s="5"/>
      <c r="S31" s="5"/>
      <c r="T31" s="5"/>
      <c r="U31" s="5"/>
      <c r="V31" s="5"/>
    </row>
    <row r="32" spans="1:39" x14ac:dyDescent="0.3">
      <c r="I32" s="6"/>
      <c r="J32" s="6"/>
      <c r="K32" s="6"/>
      <c r="L32" s="6"/>
      <c r="M32" s="6"/>
      <c r="N32" s="6"/>
      <c r="O32" s="6"/>
      <c r="P32" s="5"/>
      <c r="Q32" s="5"/>
      <c r="R32" s="5"/>
      <c r="S32" s="5"/>
      <c r="T32" s="5"/>
      <c r="U32" s="5"/>
      <c r="V32" s="5"/>
    </row>
    <row r="33" spans="1:38" x14ac:dyDescent="0.3">
      <c r="I33" s="6"/>
      <c r="J33" s="6"/>
      <c r="K33" s="6"/>
      <c r="L33" s="6"/>
      <c r="M33" s="6"/>
      <c r="N33" s="6"/>
      <c r="O33" s="6"/>
      <c r="P33" s="5"/>
      <c r="Q33" s="5"/>
      <c r="R33" s="5"/>
      <c r="S33" s="5"/>
      <c r="T33" s="5"/>
      <c r="U33" s="5"/>
      <c r="V33" s="5"/>
    </row>
    <row r="34" spans="1:38" x14ac:dyDescent="0.3">
      <c r="I34" s="6"/>
      <c r="J34" s="6"/>
      <c r="K34" s="6"/>
      <c r="L34" s="6"/>
      <c r="M34" s="6"/>
      <c r="N34" s="6"/>
      <c r="O34" s="6"/>
      <c r="P34" s="5"/>
      <c r="Q34" s="5"/>
      <c r="R34" s="5"/>
      <c r="S34" s="5"/>
      <c r="T34" s="5"/>
      <c r="U34" s="5"/>
      <c r="V34" s="5"/>
    </row>
    <row r="35" spans="1:38" x14ac:dyDescent="0.3">
      <c r="I35" s="6"/>
      <c r="J35" s="6"/>
      <c r="K35" s="6"/>
      <c r="L35" s="6"/>
      <c r="M35" s="6"/>
      <c r="N35" s="6"/>
      <c r="O35" s="6"/>
      <c r="P35" s="5"/>
      <c r="Q35" s="5"/>
      <c r="R35" s="5"/>
      <c r="S35" s="5"/>
      <c r="T35" s="5"/>
      <c r="U35" s="5"/>
      <c r="V35" s="5"/>
    </row>
    <row r="36" spans="1:38" x14ac:dyDescent="0.3">
      <c r="I36" s="6"/>
      <c r="J36" s="6"/>
      <c r="K36" s="6"/>
      <c r="L36" s="6"/>
      <c r="M36" s="6"/>
      <c r="N36" s="6"/>
      <c r="O36" s="6"/>
      <c r="P36" s="5"/>
      <c r="Q36" s="5"/>
      <c r="R36" s="5"/>
      <c r="S36" s="5"/>
      <c r="T36" s="5"/>
      <c r="U36" s="5"/>
      <c r="V36" s="5"/>
    </row>
    <row r="37" spans="1:38" x14ac:dyDescent="0.3">
      <c r="A37" s="15"/>
      <c r="I37" s="6"/>
      <c r="J37" s="6"/>
      <c r="K37" s="6"/>
      <c r="L37" s="6"/>
      <c r="M37" s="6"/>
      <c r="N37" s="6"/>
      <c r="O37" s="6"/>
      <c r="P37" s="5"/>
      <c r="Q37" s="5"/>
      <c r="R37" s="5"/>
      <c r="S37" s="5"/>
      <c r="T37" s="5"/>
      <c r="U37" s="5"/>
      <c r="V37" s="5"/>
    </row>
    <row r="38" spans="1:38" x14ac:dyDescent="0.3">
      <c r="A38" s="15"/>
      <c r="I38" s="6"/>
      <c r="J38" s="6"/>
      <c r="K38" s="6"/>
      <c r="L38" s="6"/>
      <c r="M38" s="6"/>
      <c r="N38" s="6"/>
      <c r="O38" s="6"/>
      <c r="P38" s="5"/>
      <c r="Q38" s="5"/>
      <c r="R38" s="5"/>
      <c r="S38" s="5"/>
      <c r="T38" s="5"/>
      <c r="U38" s="5"/>
      <c r="V38" s="5"/>
    </row>
    <row r="39" spans="1:38" x14ac:dyDescent="0.3">
      <c r="A39" s="15"/>
      <c r="I39" s="6"/>
      <c r="J39" s="6"/>
      <c r="K39" s="6"/>
      <c r="L39" s="6"/>
      <c r="M39" s="6"/>
      <c r="N39" s="6"/>
      <c r="O39" s="6"/>
      <c r="P39" s="5"/>
      <c r="Q39" s="5"/>
      <c r="R39" s="5"/>
      <c r="S39" s="5"/>
      <c r="T39" s="5"/>
      <c r="U39" s="5"/>
      <c r="V39" s="5"/>
    </row>
    <row r="40" spans="1:38" x14ac:dyDescent="0.3">
      <c r="A40" s="15"/>
      <c r="I40" s="6"/>
      <c r="J40" s="6"/>
      <c r="K40" s="6"/>
      <c r="L40" s="6"/>
      <c r="M40" s="6"/>
      <c r="N40" s="6"/>
      <c r="O40" s="6"/>
      <c r="P40" s="5"/>
      <c r="Q40" s="5"/>
      <c r="R40" s="5"/>
      <c r="S40" s="5"/>
      <c r="T40" s="5"/>
      <c r="U40" s="5"/>
      <c r="V40" s="5"/>
    </row>
    <row r="41" spans="1:38" x14ac:dyDescent="0.3">
      <c r="A41" s="15"/>
      <c r="I41" s="6"/>
      <c r="J41" s="6"/>
      <c r="K41" s="6"/>
      <c r="L41" s="6"/>
      <c r="M41" s="6"/>
      <c r="N41" s="6"/>
      <c r="O41" s="6"/>
      <c r="P41" s="5"/>
      <c r="Q41" s="5"/>
      <c r="R41" s="5"/>
      <c r="S41" s="5"/>
      <c r="T41" s="5"/>
      <c r="U41" s="5"/>
      <c r="V41" s="5"/>
    </row>
    <row r="42" spans="1:38" x14ac:dyDescent="0.3">
      <c r="A42" s="15"/>
      <c r="I42" s="6"/>
      <c r="J42" s="6"/>
      <c r="K42" s="6"/>
      <c r="L42" s="6"/>
      <c r="M42" s="6"/>
      <c r="N42" s="6"/>
      <c r="O42" s="6"/>
      <c r="P42" s="5"/>
      <c r="Q42" s="5"/>
      <c r="R42" s="5"/>
      <c r="S42" s="5"/>
      <c r="T42" s="5"/>
      <c r="U42" s="5"/>
      <c r="V42" s="5"/>
    </row>
    <row r="43" spans="1:38" ht="13.5" thickBot="1" x14ac:dyDescent="0.35">
      <c r="A43" s="15"/>
      <c r="I43" s="6"/>
      <c r="J43" s="6"/>
      <c r="K43" s="6"/>
      <c r="L43" s="6"/>
      <c r="M43" s="6"/>
      <c r="N43" s="6"/>
      <c r="O43" s="6"/>
      <c r="P43" s="5"/>
      <c r="Q43" s="5"/>
      <c r="R43" s="5"/>
      <c r="S43" s="5"/>
      <c r="T43" s="5"/>
      <c r="U43" s="5"/>
      <c r="V43" s="5"/>
    </row>
    <row r="44" spans="1:38" s="287" customFormat="1" ht="15" customHeight="1" thickBot="1" x14ac:dyDescent="0.4">
      <c r="A44" s="673" t="s">
        <v>200</v>
      </c>
      <c r="B44" s="674"/>
      <c r="C44" s="674"/>
      <c r="D44" s="674"/>
      <c r="E44" s="674"/>
      <c r="F44" s="674"/>
      <c r="G44" s="674"/>
      <c r="H44" s="674"/>
      <c r="I44" s="674"/>
      <c r="J44" s="674"/>
      <c r="K44" s="675"/>
      <c r="R44" s="676" t="s">
        <v>201</v>
      </c>
      <c r="S44" s="677"/>
      <c r="T44" s="677"/>
      <c r="U44" s="677"/>
      <c r="V44" s="677"/>
      <c r="W44" s="677"/>
      <c r="X44" s="677"/>
      <c r="Y44" s="678"/>
      <c r="AF44" s="4"/>
      <c r="AG44" s="4"/>
      <c r="AH44" s="4"/>
      <c r="AI44" s="4"/>
      <c r="AJ44" s="4"/>
      <c r="AK44" s="4"/>
      <c r="AL44" s="4"/>
    </row>
    <row r="45" spans="1:38" s="287" customFormat="1" ht="14.5" x14ac:dyDescent="0.35">
      <c r="A45" s="552" t="s">
        <v>202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4"/>
      <c r="L45" s="439"/>
      <c r="M45" s="439"/>
      <c r="N45" s="439"/>
      <c r="AF45" s="4"/>
      <c r="AG45" s="4"/>
      <c r="AH45" s="4"/>
      <c r="AI45" s="4"/>
      <c r="AJ45" s="4"/>
      <c r="AK45" s="4"/>
      <c r="AL45" s="4"/>
    </row>
    <row r="46" spans="1:38" s="287" customFormat="1" ht="15.75" customHeight="1" thickBot="1" x14ac:dyDescent="0.4">
      <c r="A46" s="679" t="s">
        <v>203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1"/>
      <c r="AF46" s="4"/>
      <c r="AG46" s="4"/>
      <c r="AH46" s="4"/>
      <c r="AI46" s="4"/>
      <c r="AJ46" s="4"/>
      <c r="AK46" s="4"/>
      <c r="AL46" s="4"/>
    </row>
    <row r="47" spans="1:38" s="287" customFormat="1" ht="13.5" thickBot="1" x14ac:dyDescent="0.35">
      <c r="A47" s="4"/>
      <c r="B47" s="4"/>
      <c r="C47" s="4"/>
      <c r="D47" s="4"/>
      <c r="E47" s="4"/>
      <c r="F47" s="4"/>
      <c r="G47" s="4"/>
      <c r="H47" s="4"/>
      <c r="I47" s="6"/>
      <c r="J47" s="6"/>
      <c r="K47" s="6"/>
      <c r="L47" s="6"/>
      <c r="M47" s="6"/>
      <c r="N47" s="6"/>
      <c r="O47" s="6"/>
      <c r="P47" s="5"/>
      <c r="Q47" s="5"/>
      <c r="R47" s="5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s="287" customFormat="1" ht="15.75" customHeight="1" thickBot="1" x14ac:dyDescent="0.35">
      <c r="A48" s="440" t="s">
        <v>41</v>
      </c>
      <c r="B48" s="541" t="s">
        <v>42</v>
      </c>
      <c r="C48" s="541"/>
      <c r="D48" s="541" t="s">
        <v>204</v>
      </c>
      <c r="E48" s="541"/>
      <c r="F48" s="541" t="s">
        <v>44</v>
      </c>
      <c r="G48" s="541"/>
      <c r="H48" s="541"/>
      <c r="I48" s="541"/>
      <c r="J48" s="541"/>
      <c r="K48" s="541"/>
      <c r="L48" s="541"/>
      <c r="M48" s="541"/>
      <c r="N48" s="541"/>
      <c r="O48" s="541"/>
      <c r="P48" s="541"/>
      <c r="Q48" s="541"/>
      <c r="R48" s="541"/>
      <c r="S48" s="541"/>
      <c r="T48" s="541"/>
      <c r="U48" s="541"/>
      <c r="V48" s="541"/>
      <c r="W48" s="541"/>
      <c r="X48" s="541"/>
      <c r="Y48" s="541"/>
      <c r="Z48" s="541"/>
      <c r="AA48" s="541"/>
      <c r="AB48" s="541"/>
      <c r="AC48" s="541"/>
      <c r="AD48" s="541"/>
      <c r="AE48" s="541"/>
      <c r="AF48" s="541"/>
      <c r="AG48" s="541" t="s">
        <v>45</v>
      </c>
      <c r="AH48" s="541"/>
      <c r="AI48" s="541"/>
      <c r="AJ48" s="541"/>
      <c r="AK48" s="541"/>
      <c r="AL48" s="542"/>
    </row>
    <row r="49" spans="1:38" s="287" customFormat="1" ht="14.15" customHeight="1" x14ac:dyDescent="0.3">
      <c r="A49" s="441">
        <v>46143</v>
      </c>
      <c r="B49" s="442"/>
      <c r="C49" s="443"/>
      <c r="D49" s="444"/>
      <c r="E49" s="445"/>
      <c r="F49" s="682"/>
      <c r="G49" s="682"/>
      <c r="H49" s="682"/>
      <c r="I49" s="682"/>
      <c r="J49" s="682"/>
      <c r="K49" s="682"/>
      <c r="L49" s="682"/>
      <c r="M49" s="682"/>
      <c r="N49" s="682"/>
      <c r="O49" s="682"/>
      <c r="P49" s="682"/>
      <c r="Q49" s="682"/>
      <c r="R49" s="682"/>
      <c r="S49" s="682"/>
      <c r="T49" s="682"/>
      <c r="U49" s="682"/>
      <c r="V49" s="682"/>
      <c r="W49" s="682"/>
      <c r="X49" s="682"/>
      <c r="Y49" s="682"/>
      <c r="Z49" s="682"/>
      <c r="AA49" s="682"/>
      <c r="AB49" s="682"/>
      <c r="AC49" s="682"/>
      <c r="AD49" s="682"/>
      <c r="AE49" s="682"/>
      <c r="AF49" s="682"/>
      <c r="AG49" s="683"/>
      <c r="AH49" s="683"/>
      <c r="AI49" s="683"/>
      <c r="AJ49" s="683"/>
      <c r="AK49" s="683"/>
      <c r="AL49" s="684"/>
    </row>
    <row r="50" spans="1:38" s="287" customFormat="1" ht="14.15" customHeight="1" x14ac:dyDescent="0.3">
      <c r="A50" s="446">
        <v>46144</v>
      </c>
      <c r="B50" s="447"/>
      <c r="C50" s="13"/>
      <c r="D50" s="448"/>
      <c r="E50" s="14"/>
      <c r="F50" s="537"/>
      <c r="G50" s="537"/>
      <c r="H50" s="537"/>
      <c r="I50" s="537"/>
      <c r="J50" s="537"/>
      <c r="K50" s="537"/>
      <c r="L50" s="537"/>
      <c r="M50" s="537"/>
      <c r="N50" s="537"/>
      <c r="O50" s="537"/>
      <c r="P50" s="537"/>
      <c r="Q50" s="537"/>
      <c r="R50" s="537"/>
      <c r="S50" s="537"/>
      <c r="T50" s="537"/>
      <c r="U50" s="537"/>
      <c r="V50" s="537"/>
      <c r="W50" s="537"/>
      <c r="X50" s="537"/>
      <c r="Y50" s="537"/>
      <c r="Z50" s="537"/>
      <c r="AA50" s="537"/>
      <c r="AB50" s="537"/>
      <c r="AC50" s="537"/>
      <c r="AD50" s="537"/>
      <c r="AE50" s="537"/>
      <c r="AF50" s="537"/>
      <c r="AG50" s="669"/>
      <c r="AH50" s="669"/>
      <c r="AI50" s="669"/>
      <c r="AJ50" s="669"/>
      <c r="AK50" s="669"/>
      <c r="AL50" s="670"/>
    </row>
    <row r="51" spans="1:38" s="287" customFormat="1" ht="14.15" customHeight="1" x14ac:dyDescent="0.3">
      <c r="A51" s="446">
        <v>46145</v>
      </c>
      <c r="B51" s="447"/>
      <c r="C51" s="13"/>
      <c r="D51" s="448"/>
      <c r="E51" s="14"/>
      <c r="F51" s="537"/>
      <c r="G51" s="537"/>
      <c r="H51" s="537"/>
      <c r="I51" s="537"/>
      <c r="J51" s="537"/>
      <c r="K51" s="537"/>
      <c r="L51" s="537"/>
      <c r="M51" s="537"/>
      <c r="N51" s="537"/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  <c r="Z51" s="537"/>
      <c r="AA51" s="537"/>
      <c r="AB51" s="537"/>
      <c r="AC51" s="537"/>
      <c r="AD51" s="537"/>
      <c r="AE51" s="537"/>
      <c r="AF51" s="537"/>
      <c r="AG51" s="669"/>
      <c r="AH51" s="669"/>
      <c r="AI51" s="669"/>
      <c r="AJ51" s="669"/>
      <c r="AK51" s="669"/>
      <c r="AL51" s="670"/>
    </row>
    <row r="52" spans="1:38" s="287" customFormat="1" ht="14.15" customHeight="1" x14ac:dyDescent="0.3">
      <c r="A52" s="449">
        <v>46146</v>
      </c>
      <c r="B52" s="450"/>
      <c r="C52" s="164"/>
      <c r="D52" s="451"/>
      <c r="E52" s="166"/>
      <c r="F52" s="529"/>
      <c r="G52" s="529"/>
      <c r="H52" s="529"/>
      <c r="I52" s="529"/>
      <c r="J52" s="529"/>
      <c r="K52" s="529"/>
      <c r="L52" s="529"/>
      <c r="M52" s="529"/>
      <c r="N52" s="529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  <c r="AA52" s="529"/>
      <c r="AB52" s="529"/>
      <c r="AC52" s="529"/>
      <c r="AD52" s="529"/>
      <c r="AE52" s="529"/>
      <c r="AF52" s="529"/>
      <c r="AG52" s="667"/>
      <c r="AH52" s="667"/>
      <c r="AI52" s="667"/>
      <c r="AJ52" s="667"/>
      <c r="AK52" s="667"/>
      <c r="AL52" s="668"/>
    </row>
    <row r="53" spans="1:38" s="287" customFormat="1" ht="14.15" customHeight="1" x14ac:dyDescent="0.3">
      <c r="A53" s="449">
        <v>46147</v>
      </c>
      <c r="B53" s="450"/>
      <c r="C53" s="164"/>
      <c r="D53" s="451"/>
      <c r="E53" s="166"/>
      <c r="F53" s="529"/>
      <c r="G53" s="529"/>
      <c r="H53" s="529"/>
      <c r="I53" s="529"/>
      <c r="J53" s="529"/>
      <c r="K53" s="529"/>
      <c r="L53" s="529"/>
      <c r="M53" s="529"/>
      <c r="N53" s="529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  <c r="AA53" s="529"/>
      <c r="AB53" s="529"/>
      <c r="AC53" s="529"/>
      <c r="AD53" s="529"/>
      <c r="AE53" s="529"/>
      <c r="AF53" s="529"/>
      <c r="AG53" s="667"/>
      <c r="AH53" s="667"/>
      <c r="AI53" s="667"/>
      <c r="AJ53" s="667"/>
      <c r="AK53" s="667"/>
      <c r="AL53" s="668"/>
    </row>
    <row r="54" spans="1:38" s="287" customFormat="1" ht="14.15" customHeight="1" x14ac:dyDescent="0.3">
      <c r="A54" s="449">
        <v>46148</v>
      </c>
      <c r="B54" s="450"/>
      <c r="C54" s="164"/>
      <c r="D54" s="451"/>
      <c r="E54" s="166"/>
      <c r="F54" s="529"/>
      <c r="G54" s="529"/>
      <c r="H54" s="529"/>
      <c r="I54" s="529"/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29"/>
      <c r="AB54" s="529"/>
      <c r="AC54" s="529"/>
      <c r="AD54" s="529"/>
      <c r="AE54" s="529"/>
      <c r="AF54" s="529"/>
      <c r="AG54" s="667"/>
      <c r="AH54" s="667"/>
      <c r="AI54" s="667"/>
      <c r="AJ54" s="667"/>
      <c r="AK54" s="667"/>
      <c r="AL54" s="668"/>
    </row>
    <row r="55" spans="1:38" s="287" customFormat="1" ht="14.15" customHeight="1" x14ac:dyDescent="0.3">
      <c r="A55" s="449">
        <v>46149</v>
      </c>
      <c r="B55" s="450"/>
      <c r="C55" s="164"/>
      <c r="D55" s="451"/>
      <c r="E55" s="166"/>
      <c r="F55" s="529"/>
      <c r="G55" s="529"/>
      <c r="H55" s="529"/>
      <c r="I55" s="529"/>
      <c r="J55" s="529"/>
      <c r="K55" s="529"/>
      <c r="L55" s="529"/>
      <c r="M55" s="529"/>
      <c r="N55" s="529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667"/>
      <c r="AH55" s="667"/>
      <c r="AI55" s="667"/>
      <c r="AJ55" s="667"/>
      <c r="AK55" s="667"/>
      <c r="AL55" s="668"/>
    </row>
    <row r="56" spans="1:38" s="287" customFormat="1" ht="14.15" customHeight="1" x14ac:dyDescent="0.3">
      <c r="A56" s="449">
        <v>46150</v>
      </c>
      <c r="B56" s="450"/>
      <c r="C56" s="164"/>
      <c r="D56" s="451"/>
      <c r="E56" s="166"/>
      <c r="F56" s="529"/>
      <c r="G56" s="529"/>
      <c r="H56" s="529"/>
      <c r="I56" s="529"/>
      <c r="J56" s="529"/>
      <c r="K56" s="529"/>
      <c r="L56" s="529"/>
      <c r="M56" s="529"/>
      <c r="N56" s="529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  <c r="AA56" s="529"/>
      <c r="AB56" s="529"/>
      <c r="AC56" s="529"/>
      <c r="AD56" s="529"/>
      <c r="AE56" s="529"/>
      <c r="AF56" s="529"/>
      <c r="AG56" s="667"/>
      <c r="AH56" s="667"/>
      <c r="AI56" s="667"/>
      <c r="AJ56" s="667"/>
      <c r="AK56" s="667"/>
      <c r="AL56" s="668"/>
    </row>
    <row r="57" spans="1:38" s="287" customFormat="1" ht="14.15" customHeight="1" x14ac:dyDescent="0.3">
      <c r="A57" s="446">
        <v>46151</v>
      </c>
      <c r="B57" s="447"/>
      <c r="C57" s="13"/>
      <c r="D57" s="448"/>
      <c r="E57" s="14"/>
      <c r="F57" s="537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7"/>
      <c r="R57" s="537"/>
      <c r="S57" s="537"/>
      <c r="T57" s="537"/>
      <c r="U57" s="537"/>
      <c r="V57" s="537"/>
      <c r="W57" s="537"/>
      <c r="X57" s="537"/>
      <c r="Y57" s="537"/>
      <c r="Z57" s="537"/>
      <c r="AA57" s="537"/>
      <c r="AB57" s="537"/>
      <c r="AC57" s="537"/>
      <c r="AD57" s="537"/>
      <c r="AE57" s="537"/>
      <c r="AF57" s="537"/>
      <c r="AG57" s="669"/>
      <c r="AH57" s="669"/>
      <c r="AI57" s="669"/>
      <c r="AJ57" s="669"/>
      <c r="AK57" s="669"/>
      <c r="AL57" s="670"/>
    </row>
    <row r="58" spans="1:38" s="287" customFormat="1" ht="14.15" customHeight="1" x14ac:dyDescent="0.3">
      <c r="A58" s="446">
        <v>46152</v>
      </c>
      <c r="B58" s="447"/>
      <c r="C58" s="13"/>
      <c r="D58" s="448"/>
      <c r="E58" s="14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  <c r="AB58" s="537"/>
      <c r="AC58" s="537"/>
      <c r="AD58" s="537"/>
      <c r="AE58" s="537"/>
      <c r="AF58" s="537"/>
      <c r="AG58" s="669"/>
      <c r="AH58" s="669"/>
      <c r="AI58" s="669"/>
      <c r="AJ58" s="669"/>
      <c r="AK58" s="669"/>
      <c r="AL58" s="670"/>
    </row>
    <row r="59" spans="1:38" s="287" customFormat="1" ht="14.15" customHeight="1" x14ac:dyDescent="0.3">
      <c r="A59" s="449">
        <v>46153</v>
      </c>
      <c r="B59" s="450"/>
      <c r="C59" s="164"/>
      <c r="D59" s="451"/>
      <c r="E59" s="166"/>
      <c r="F59" s="529" t="s">
        <v>5</v>
      </c>
      <c r="G59" s="529"/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29"/>
      <c r="AB59" s="529"/>
      <c r="AC59" s="529"/>
      <c r="AD59" s="529"/>
      <c r="AE59" s="529"/>
      <c r="AF59" s="529"/>
      <c r="AG59" s="667"/>
      <c r="AH59" s="667"/>
      <c r="AI59" s="667"/>
      <c r="AJ59" s="667"/>
      <c r="AK59" s="667"/>
      <c r="AL59" s="668"/>
    </row>
    <row r="60" spans="1:38" s="287" customFormat="1" ht="14.15" customHeight="1" x14ac:dyDescent="0.3">
      <c r="A60" s="449">
        <v>46154</v>
      </c>
      <c r="B60" s="450"/>
      <c r="C60" s="164"/>
      <c r="D60" s="451"/>
      <c r="E60" s="166"/>
      <c r="F60" s="529"/>
      <c r="G60" s="529"/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29"/>
      <c r="AB60" s="529"/>
      <c r="AC60" s="529"/>
      <c r="AD60" s="529"/>
      <c r="AE60" s="529"/>
      <c r="AF60" s="529"/>
      <c r="AG60" s="667"/>
      <c r="AH60" s="667"/>
      <c r="AI60" s="667"/>
      <c r="AJ60" s="667"/>
      <c r="AK60" s="667"/>
      <c r="AL60" s="668"/>
    </row>
    <row r="61" spans="1:38" s="287" customFormat="1" ht="14.15" customHeight="1" x14ac:dyDescent="0.3">
      <c r="A61" s="449">
        <v>46155</v>
      </c>
      <c r="B61" s="450"/>
      <c r="C61" s="164"/>
      <c r="D61" s="451"/>
      <c r="E61" s="166"/>
      <c r="F61" s="529"/>
      <c r="G61" s="529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29"/>
      <c r="AB61" s="529"/>
      <c r="AC61" s="529"/>
      <c r="AD61" s="529"/>
      <c r="AE61" s="529"/>
      <c r="AF61" s="529"/>
      <c r="AG61" s="667"/>
      <c r="AH61" s="667"/>
      <c r="AI61" s="667"/>
      <c r="AJ61" s="667"/>
      <c r="AK61" s="667"/>
      <c r="AL61" s="668"/>
    </row>
    <row r="62" spans="1:38" s="287" customFormat="1" ht="14.15" customHeight="1" x14ac:dyDescent="0.3">
      <c r="A62" s="449">
        <v>46156</v>
      </c>
      <c r="B62" s="450"/>
      <c r="C62" s="164"/>
      <c r="D62" s="451"/>
      <c r="E62" s="166"/>
      <c r="F62" s="529"/>
      <c r="G62" s="529"/>
      <c r="H62" s="529"/>
      <c r="I62" s="529"/>
      <c r="J62" s="529"/>
      <c r="K62" s="529"/>
      <c r="L62" s="529"/>
      <c r="M62" s="529"/>
      <c r="N62" s="529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  <c r="AA62" s="529"/>
      <c r="AB62" s="529"/>
      <c r="AC62" s="529"/>
      <c r="AD62" s="529"/>
      <c r="AE62" s="529"/>
      <c r="AF62" s="529"/>
      <c r="AG62" s="667"/>
      <c r="AH62" s="667"/>
      <c r="AI62" s="667"/>
      <c r="AJ62" s="667"/>
      <c r="AK62" s="667"/>
      <c r="AL62" s="668"/>
    </row>
    <row r="63" spans="1:38" s="287" customFormat="1" ht="14.15" customHeight="1" x14ac:dyDescent="0.3">
      <c r="A63" s="449">
        <v>46157</v>
      </c>
      <c r="B63" s="450"/>
      <c r="C63" s="164"/>
      <c r="D63" s="451"/>
      <c r="E63" s="166"/>
      <c r="F63" s="529"/>
      <c r="G63" s="529"/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29"/>
      <c r="AB63" s="529"/>
      <c r="AC63" s="529"/>
      <c r="AD63" s="529"/>
      <c r="AE63" s="529"/>
      <c r="AF63" s="529"/>
      <c r="AG63" s="667"/>
      <c r="AH63" s="667"/>
      <c r="AI63" s="667"/>
      <c r="AJ63" s="667"/>
      <c r="AK63" s="667"/>
      <c r="AL63" s="668"/>
    </row>
    <row r="64" spans="1:38" s="287" customFormat="1" ht="14.15" customHeight="1" x14ac:dyDescent="0.3">
      <c r="A64" s="446">
        <v>46158</v>
      </c>
      <c r="B64" s="447"/>
      <c r="C64" s="13"/>
      <c r="D64" s="448"/>
      <c r="E64" s="14"/>
      <c r="F64" s="537"/>
      <c r="G64" s="537"/>
      <c r="H64" s="537"/>
      <c r="I64" s="537"/>
      <c r="J64" s="537"/>
      <c r="K64" s="537"/>
      <c r="L64" s="537"/>
      <c r="M64" s="537"/>
      <c r="N64" s="537"/>
      <c r="O64" s="537"/>
      <c r="P64" s="537"/>
      <c r="Q64" s="537"/>
      <c r="R64" s="537"/>
      <c r="S64" s="537"/>
      <c r="T64" s="537"/>
      <c r="U64" s="537"/>
      <c r="V64" s="537"/>
      <c r="W64" s="537"/>
      <c r="X64" s="537"/>
      <c r="Y64" s="537"/>
      <c r="Z64" s="537"/>
      <c r="AA64" s="537"/>
      <c r="AB64" s="537"/>
      <c r="AC64" s="537"/>
      <c r="AD64" s="537"/>
      <c r="AE64" s="537"/>
      <c r="AF64" s="537"/>
      <c r="AG64" s="669"/>
      <c r="AH64" s="669"/>
      <c r="AI64" s="669"/>
      <c r="AJ64" s="669"/>
      <c r="AK64" s="669"/>
      <c r="AL64" s="670"/>
    </row>
    <row r="65" spans="1:38" s="287" customFormat="1" ht="14.15" customHeight="1" x14ac:dyDescent="0.3">
      <c r="A65" s="446">
        <v>46159</v>
      </c>
      <c r="B65" s="447"/>
      <c r="C65" s="13"/>
      <c r="D65" s="448"/>
      <c r="E65" s="14"/>
      <c r="F65" s="537"/>
      <c r="G65" s="537"/>
      <c r="H65" s="537"/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  <c r="Z65" s="537"/>
      <c r="AA65" s="537"/>
      <c r="AB65" s="537"/>
      <c r="AC65" s="537"/>
      <c r="AD65" s="537"/>
      <c r="AE65" s="537"/>
      <c r="AF65" s="537"/>
      <c r="AG65" s="669"/>
      <c r="AH65" s="669"/>
      <c r="AI65" s="669"/>
      <c r="AJ65" s="669"/>
      <c r="AK65" s="669"/>
      <c r="AL65" s="670"/>
    </row>
    <row r="66" spans="1:38" s="287" customFormat="1" ht="14.15" customHeight="1" x14ac:dyDescent="0.3">
      <c r="A66" s="449">
        <v>46160</v>
      </c>
      <c r="B66" s="450"/>
      <c r="C66" s="164"/>
      <c r="D66" s="451"/>
      <c r="E66" s="166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29"/>
      <c r="AE66" s="529"/>
      <c r="AF66" s="529"/>
      <c r="AG66" s="667"/>
      <c r="AH66" s="667"/>
      <c r="AI66" s="667"/>
      <c r="AJ66" s="667"/>
      <c r="AK66" s="667"/>
      <c r="AL66" s="668"/>
    </row>
    <row r="67" spans="1:38" s="287" customFormat="1" ht="14.15" customHeight="1" x14ac:dyDescent="0.3">
      <c r="A67" s="449">
        <v>46161</v>
      </c>
      <c r="B67" s="450"/>
      <c r="C67" s="164"/>
      <c r="D67" s="451"/>
      <c r="E67" s="166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29"/>
      <c r="AE67" s="529"/>
      <c r="AF67" s="529"/>
      <c r="AG67" s="667"/>
      <c r="AH67" s="667"/>
      <c r="AI67" s="667"/>
      <c r="AJ67" s="667"/>
      <c r="AK67" s="667"/>
      <c r="AL67" s="668"/>
    </row>
    <row r="68" spans="1:38" s="287" customFormat="1" ht="14.15" customHeight="1" x14ac:dyDescent="0.3">
      <c r="A68" s="449">
        <v>46162</v>
      </c>
      <c r="B68" s="450"/>
      <c r="C68" s="164"/>
      <c r="D68" s="451"/>
      <c r="E68" s="166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29"/>
      <c r="AB68" s="529"/>
      <c r="AC68" s="529"/>
      <c r="AD68" s="529"/>
      <c r="AE68" s="529"/>
      <c r="AF68" s="529"/>
      <c r="AG68" s="667"/>
      <c r="AH68" s="667"/>
      <c r="AI68" s="667"/>
      <c r="AJ68" s="667"/>
      <c r="AK68" s="667"/>
      <c r="AL68" s="668"/>
    </row>
    <row r="69" spans="1:38" s="287" customFormat="1" ht="14.15" customHeight="1" x14ac:dyDescent="0.3">
      <c r="A69" s="449">
        <v>46163</v>
      </c>
      <c r="B69" s="450"/>
      <c r="C69" s="164"/>
      <c r="D69" s="451"/>
      <c r="E69" s="166"/>
      <c r="F69" s="529"/>
      <c r="G69" s="529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29"/>
      <c r="AB69" s="529"/>
      <c r="AC69" s="529"/>
      <c r="AD69" s="529"/>
      <c r="AE69" s="529"/>
      <c r="AF69" s="529"/>
      <c r="AG69" s="667"/>
      <c r="AH69" s="667"/>
      <c r="AI69" s="667"/>
      <c r="AJ69" s="667"/>
      <c r="AK69" s="667"/>
      <c r="AL69" s="668"/>
    </row>
    <row r="70" spans="1:38" s="287" customFormat="1" ht="14.15" customHeight="1" x14ac:dyDescent="0.3">
      <c r="A70" s="449">
        <v>46164</v>
      </c>
      <c r="B70" s="450"/>
      <c r="C70" s="164"/>
      <c r="D70" s="451"/>
      <c r="E70" s="166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29"/>
      <c r="AB70" s="529"/>
      <c r="AC70" s="529"/>
      <c r="AD70" s="529"/>
      <c r="AE70" s="529"/>
      <c r="AF70" s="529"/>
      <c r="AG70" s="667"/>
      <c r="AH70" s="667"/>
      <c r="AI70" s="667"/>
      <c r="AJ70" s="667"/>
      <c r="AK70" s="667"/>
      <c r="AL70" s="668"/>
    </row>
    <row r="71" spans="1:38" s="287" customFormat="1" ht="14.15" customHeight="1" x14ac:dyDescent="0.3">
      <c r="A71" s="446">
        <v>46165</v>
      </c>
      <c r="B71" s="447"/>
      <c r="C71" s="13"/>
      <c r="D71" s="448"/>
      <c r="E71" s="14"/>
      <c r="F71" s="537"/>
      <c r="G71" s="537"/>
      <c r="H71" s="537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Z71" s="537"/>
      <c r="AA71" s="537"/>
      <c r="AB71" s="537"/>
      <c r="AC71" s="537"/>
      <c r="AD71" s="537"/>
      <c r="AE71" s="537"/>
      <c r="AF71" s="537"/>
      <c r="AG71" s="669"/>
      <c r="AH71" s="669"/>
      <c r="AI71" s="669"/>
      <c r="AJ71" s="669"/>
      <c r="AK71" s="669"/>
      <c r="AL71" s="670"/>
    </row>
    <row r="72" spans="1:38" s="287" customFormat="1" ht="14.15" customHeight="1" x14ac:dyDescent="0.3">
      <c r="A72" s="446">
        <v>46166</v>
      </c>
      <c r="B72" s="447"/>
      <c r="C72" s="13"/>
      <c r="D72" s="448"/>
      <c r="E72" s="14"/>
      <c r="F72" s="537"/>
      <c r="G72" s="537"/>
      <c r="H72" s="537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Z72" s="537"/>
      <c r="AA72" s="537"/>
      <c r="AB72" s="537"/>
      <c r="AC72" s="537"/>
      <c r="AD72" s="537"/>
      <c r="AE72" s="537"/>
      <c r="AF72" s="537"/>
      <c r="AG72" s="669"/>
      <c r="AH72" s="669"/>
      <c r="AI72" s="669"/>
      <c r="AJ72" s="669"/>
      <c r="AK72" s="669"/>
      <c r="AL72" s="670"/>
    </row>
    <row r="73" spans="1:38" s="287" customFormat="1" ht="14.15" customHeight="1" x14ac:dyDescent="0.3">
      <c r="A73" s="449">
        <v>46167</v>
      </c>
      <c r="B73" s="450"/>
      <c r="C73" s="164"/>
      <c r="D73" s="451"/>
      <c r="E73" s="166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29"/>
      <c r="AB73" s="529"/>
      <c r="AC73" s="529"/>
      <c r="AD73" s="529"/>
      <c r="AE73" s="529"/>
      <c r="AF73" s="529"/>
      <c r="AG73" s="667"/>
      <c r="AH73" s="667"/>
      <c r="AI73" s="667"/>
      <c r="AJ73" s="667"/>
      <c r="AK73" s="667"/>
      <c r="AL73" s="668"/>
    </row>
    <row r="74" spans="1:38" s="287" customFormat="1" ht="14.15" customHeight="1" x14ac:dyDescent="0.3">
      <c r="A74" s="449">
        <v>46168</v>
      </c>
      <c r="B74" s="450"/>
      <c r="C74" s="164"/>
      <c r="D74" s="451"/>
      <c r="E74" s="166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29"/>
      <c r="AB74" s="529"/>
      <c r="AC74" s="529"/>
      <c r="AD74" s="529"/>
      <c r="AE74" s="529"/>
      <c r="AF74" s="529"/>
      <c r="AG74" s="667"/>
      <c r="AH74" s="667"/>
      <c r="AI74" s="667"/>
      <c r="AJ74" s="667"/>
      <c r="AK74" s="667"/>
      <c r="AL74" s="668"/>
    </row>
    <row r="75" spans="1:38" s="287" customFormat="1" ht="14.15" customHeight="1" x14ac:dyDescent="0.3">
      <c r="A75" s="449">
        <v>46169</v>
      </c>
      <c r="B75" s="450"/>
      <c r="C75" s="164"/>
      <c r="D75" s="451"/>
      <c r="E75" s="166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29"/>
      <c r="AB75" s="529"/>
      <c r="AC75" s="529"/>
      <c r="AD75" s="529"/>
      <c r="AE75" s="529"/>
      <c r="AF75" s="529"/>
      <c r="AG75" s="667"/>
      <c r="AH75" s="667"/>
      <c r="AI75" s="667"/>
      <c r="AJ75" s="667"/>
      <c r="AK75" s="667"/>
      <c r="AL75" s="668"/>
    </row>
    <row r="76" spans="1:38" s="287" customFormat="1" ht="14.15" customHeight="1" x14ac:dyDescent="0.3">
      <c r="A76" s="449">
        <v>46170</v>
      </c>
      <c r="B76" s="450"/>
      <c r="C76" s="164"/>
      <c r="D76" s="451"/>
      <c r="E76" s="166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29"/>
      <c r="AB76" s="529"/>
      <c r="AC76" s="529"/>
      <c r="AD76" s="529"/>
      <c r="AE76" s="529"/>
      <c r="AF76" s="529"/>
      <c r="AG76" s="667"/>
      <c r="AH76" s="667"/>
      <c r="AI76" s="667"/>
      <c r="AJ76" s="667"/>
      <c r="AK76" s="667"/>
      <c r="AL76" s="668"/>
    </row>
    <row r="77" spans="1:38" s="287" customFormat="1" ht="14.15" customHeight="1" x14ac:dyDescent="0.3">
      <c r="A77" s="449">
        <v>46171</v>
      </c>
      <c r="B77" s="450"/>
      <c r="C77" s="164"/>
      <c r="D77" s="451"/>
      <c r="E77" s="166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529"/>
      <c r="AG77" s="667"/>
      <c r="AH77" s="667"/>
      <c r="AI77" s="667"/>
      <c r="AJ77" s="667"/>
      <c r="AK77" s="667"/>
      <c r="AL77" s="668"/>
    </row>
    <row r="78" spans="1:38" s="287" customFormat="1" ht="14.15" customHeight="1" x14ac:dyDescent="0.3">
      <c r="A78" s="446">
        <v>46172</v>
      </c>
      <c r="B78" s="447"/>
      <c r="C78" s="13"/>
      <c r="D78" s="448"/>
      <c r="E78" s="14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7"/>
      <c r="AB78" s="537"/>
      <c r="AC78" s="537"/>
      <c r="AD78" s="537"/>
      <c r="AE78" s="537"/>
      <c r="AF78" s="537"/>
      <c r="AG78" s="669"/>
      <c r="AH78" s="669"/>
      <c r="AI78" s="669"/>
      <c r="AJ78" s="669"/>
      <c r="AK78" s="669"/>
      <c r="AL78" s="670"/>
    </row>
    <row r="79" spans="1:38" s="287" customFormat="1" ht="14.15" customHeight="1" thickBot="1" x14ac:dyDescent="0.35">
      <c r="A79" s="452">
        <v>46173</v>
      </c>
      <c r="B79" s="453"/>
      <c r="C79" s="168"/>
      <c r="D79" s="454"/>
      <c r="E79" s="170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  <c r="Z79" s="582"/>
      <c r="AA79" s="582"/>
      <c r="AB79" s="582"/>
      <c r="AC79" s="582"/>
      <c r="AD79" s="582"/>
      <c r="AE79" s="582"/>
      <c r="AF79" s="582"/>
      <c r="AG79" s="671"/>
      <c r="AH79" s="671"/>
      <c r="AI79" s="671"/>
      <c r="AJ79" s="671"/>
      <c r="AK79" s="671"/>
      <c r="AL79" s="672"/>
    </row>
    <row r="80" spans="1:38" s="287" customFormat="1" ht="15" thickBot="1" x14ac:dyDescent="0.35">
      <c r="A80" s="455" t="s">
        <v>205</v>
      </c>
      <c r="B80" s="456"/>
      <c r="C80" s="456"/>
      <c r="D80" s="457"/>
      <c r="E80" s="458">
        <f>SUM(E49:E79)</f>
        <v>0</v>
      </c>
      <c r="F80" s="4"/>
      <c r="G80" s="4"/>
      <c r="H80" s="4"/>
      <c r="I80" s="6"/>
      <c r="J80" s="6"/>
      <c r="K80" s="6"/>
      <c r="L80" s="6"/>
      <c r="M80" s="6"/>
      <c r="N80" s="6"/>
      <c r="O80" s="6"/>
      <c r="P80" s="5"/>
      <c r="Q80" s="5"/>
      <c r="R80" s="5"/>
      <c r="S80" s="5"/>
      <c r="T80" s="5"/>
      <c r="U80" s="5"/>
      <c r="V80" s="5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s="287" customFormat="1" ht="14.15" customHeight="1" thickBot="1" x14ac:dyDescent="0.35">
      <c r="A81" s="659" t="s">
        <v>54</v>
      </c>
      <c r="B81" s="661" t="s">
        <v>55</v>
      </c>
      <c r="C81" s="662"/>
      <c r="D81" s="661" t="s">
        <v>56</v>
      </c>
      <c r="E81" s="662"/>
      <c r="F81" s="661" t="s">
        <v>46</v>
      </c>
      <c r="G81" s="662"/>
      <c r="H81" s="663"/>
      <c r="I81" s="664"/>
      <c r="J81" s="6"/>
      <c r="K81" s="6"/>
      <c r="L81" s="6"/>
      <c r="M81" s="6"/>
      <c r="N81" s="6"/>
      <c r="O81" s="6"/>
      <c r="P81" s="5"/>
      <c r="Q81" s="5"/>
      <c r="R81" s="5"/>
      <c r="S81" s="5"/>
      <c r="T81" s="5"/>
      <c r="U81" s="5"/>
      <c r="V81" s="5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s="287" customFormat="1" ht="14.15" customHeight="1" thickBot="1" x14ac:dyDescent="0.35">
      <c r="A82" s="660"/>
      <c r="B82" s="665">
        <f>SUMIFS($E$49:$E$79,$C$49:$C$79,"WP1")</f>
        <v>0</v>
      </c>
      <c r="C82" s="666"/>
      <c r="D82" s="665">
        <f>SUMIFS($E$49:$E$79,$C$49:$C$79,"WP2")</f>
        <v>0</v>
      </c>
      <c r="E82" s="666"/>
      <c r="F82" s="665">
        <f>SUMIFS($E$49:$E$79,$C$49:$C$79,"WP3")</f>
        <v>0</v>
      </c>
      <c r="G82" s="666"/>
      <c r="H82" s="663"/>
      <c r="I82" s="664"/>
      <c r="J82" s="6"/>
      <c r="K82" s="6"/>
      <c r="L82" s="6"/>
      <c r="M82" s="6"/>
      <c r="N82" s="6"/>
      <c r="O82" s="6"/>
      <c r="P82" s="5"/>
      <c r="Q82" s="5"/>
      <c r="R82" s="5"/>
      <c r="S82" s="5"/>
      <c r="T82" s="5"/>
      <c r="U82" s="5"/>
      <c r="V82" s="5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x14ac:dyDescent="0.3">
      <c r="A83" s="15"/>
      <c r="I83" s="6"/>
      <c r="J83" s="6"/>
      <c r="K83" s="6"/>
      <c r="L83" s="6"/>
      <c r="M83" s="6"/>
      <c r="N83" s="6"/>
      <c r="O83" s="6"/>
      <c r="P83" s="5"/>
      <c r="Q83" s="5"/>
      <c r="R83" s="5"/>
      <c r="S83" s="5"/>
      <c r="T83" s="5"/>
      <c r="U83" s="5"/>
      <c r="V83" s="5"/>
    </row>
    <row r="84" spans="1:38" x14ac:dyDescent="0.3">
      <c r="A84" s="15"/>
      <c r="I84" s="6"/>
      <c r="J84" s="6"/>
      <c r="K84" s="6"/>
      <c r="L84" s="6"/>
      <c r="M84" s="6"/>
      <c r="N84" s="6"/>
      <c r="O84" s="6"/>
      <c r="P84" s="5"/>
      <c r="Q84" s="5"/>
      <c r="R84" s="5"/>
      <c r="S84" s="5"/>
      <c r="T84" s="5"/>
      <c r="U84" s="5"/>
      <c r="V84" s="5"/>
    </row>
    <row r="85" spans="1:38" x14ac:dyDescent="0.3">
      <c r="A85" s="15"/>
      <c r="I85" s="6"/>
      <c r="J85" s="6"/>
      <c r="K85" s="6"/>
      <c r="L85" s="6"/>
      <c r="M85" s="6"/>
      <c r="N85" s="6"/>
      <c r="O85" s="6"/>
      <c r="P85" s="5"/>
      <c r="Q85" s="5"/>
      <c r="R85" s="5"/>
      <c r="S85" s="5"/>
      <c r="T85" s="5"/>
      <c r="U85" s="5"/>
      <c r="V85" s="5"/>
    </row>
    <row r="86" spans="1:38" x14ac:dyDescent="0.3">
      <c r="A86" s="15"/>
      <c r="I86" s="6"/>
      <c r="J86" s="6"/>
      <c r="K86" s="6"/>
      <c r="L86" s="6"/>
      <c r="M86" s="6"/>
      <c r="N86" s="6"/>
      <c r="O86" s="6"/>
      <c r="P86" s="5"/>
      <c r="Q86" s="5"/>
      <c r="R86" s="5"/>
      <c r="S86" s="5"/>
      <c r="T86" s="5"/>
      <c r="U86" s="5"/>
      <c r="V86" s="5"/>
    </row>
    <row r="87" spans="1:38" x14ac:dyDescent="0.3">
      <c r="A87" s="15"/>
      <c r="I87" s="6"/>
      <c r="J87" s="6"/>
      <c r="K87" s="6"/>
      <c r="L87" s="6"/>
      <c r="M87" s="6"/>
      <c r="N87" s="6"/>
      <c r="O87" s="6"/>
      <c r="P87" s="5"/>
      <c r="Q87" s="5"/>
      <c r="R87" s="5"/>
      <c r="S87" s="5"/>
      <c r="T87" s="5"/>
      <c r="U87" s="5"/>
      <c r="V87" s="5"/>
    </row>
    <row r="88" spans="1:38" x14ac:dyDescent="0.3">
      <c r="A88" s="15"/>
      <c r="I88" s="6"/>
      <c r="J88" s="6"/>
      <c r="K88" s="6"/>
      <c r="L88" s="6"/>
      <c r="M88" s="6"/>
      <c r="N88" s="6"/>
      <c r="O88" s="6"/>
      <c r="P88" s="5"/>
      <c r="Q88" s="5"/>
      <c r="R88" s="5"/>
      <c r="S88" s="5"/>
      <c r="T88" s="5"/>
      <c r="U88" s="5"/>
      <c r="V88" s="5"/>
    </row>
    <row r="89" spans="1:38" x14ac:dyDescent="0.3">
      <c r="A89" s="15"/>
      <c r="I89" s="6"/>
      <c r="J89" s="6"/>
      <c r="K89" s="6"/>
      <c r="L89" s="6"/>
      <c r="M89" s="6"/>
      <c r="N89" s="6"/>
      <c r="O89" s="6"/>
      <c r="P89" s="5"/>
      <c r="Q89" s="5"/>
      <c r="R89" s="5"/>
      <c r="S89" s="5"/>
      <c r="T89" s="5"/>
      <c r="U89" s="5"/>
      <c r="V89" s="5"/>
    </row>
    <row r="90" spans="1:38" x14ac:dyDescent="0.3">
      <c r="A90" s="15"/>
      <c r="I90" s="6"/>
      <c r="J90" s="6"/>
      <c r="K90" s="6"/>
      <c r="L90" s="6"/>
      <c r="M90" s="6"/>
      <c r="N90" s="6"/>
      <c r="O90" s="6"/>
      <c r="P90" s="5"/>
      <c r="Q90" s="5"/>
      <c r="R90" s="5"/>
      <c r="S90" s="5"/>
      <c r="T90" s="5"/>
      <c r="U90" s="5"/>
      <c r="V90" s="5"/>
    </row>
    <row r="91" spans="1:38" x14ac:dyDescent="0.3">
      <c r="A91" s="15"/>
      <c r="I91" s="6"/>
      <c r="J91" s="6"/>
      <c r="K91" s="6"/>
      <c r="L91" s="6"/>
      <c r="M91" s="6"/>
      <c r="N91" s="6"/>
      <c r="O91" s="6"/>
      <c r="P91" s="5"/>
      <c r="Q91" s="5"/>
      <c r="R91" s="5"/>
      <c r="S91" s="5"/>
      <c r="T91" s="5"/>
      <c r="U91" s="5"/>
      <c r="V91" s="5"/>
    </row>
    <row r="92" spans="1:38" x14ac:dyDescent="0.3">
      <c r="A92" s="15"/>
      <c r="I92" s="6"/>
      <c r="J92" s="6"/>
      <c r="K92" s="6"/>
      <c r="L92" s="6"/>
      <c r="M92" s="6"/>
      <c r="N92" s="6"/>
      <c r="O92" s="6"/>
      <c r="P92" s="5"/>
      <c r="Q92" s="5"/>
      <c r="R92" s="5"/>
      <c r="S92" s="5"/>
      <c r="T92" s="5"/>
      <c r="U92" s="5"/>
      <c r="V92" s="5"/>
    </row>
    <row r="93" spans="1:38" x14ac:dyDescent="0.3">
      <c r="A93" s="15"/>
      <c r="I93" s="6"/>
      <c r="J93" s="6"/>
      <c r="K93" s="6"/>
      <c r="L93" s="6"/>
      <c r="M93" s="6"/>
      <c r="N93" s="6"/>
      <c r="O93" s="6"/>
      <c r="P93" s="5"/>
      <c r="Q93" s="5"/>
      <c r="R93" s="5"/>
      <c r="S93" s="5"/>
      <c r="T93" s="5"/>
      <c r="U93" s="5"/>
      <c r="V93" s="5"/>
    </row>
    <row r="94" spans="1:38" x14ac:dyDescent="0.3">
      <c r="A94" s="15"/>
      <c r="I94" s="6"/>
      <c r="J94" s="6"/>
      <c r="K94" s="6"/>
      <c r="L94" s="6"/>
      <c r="M94" s="6"/>
      <c r="N94" s="6"/>
      <c r="O94" s="6"/>
      <c r="P94" s="5"/>
      <c r="Q94" s="5"/>
      <c r="R94" s="5"/>
      <c r="S94" s="5"/>
      <c r="T94" s="5"/>
      <c r="U94" s="5"/>
      <c r="V94" s="5"/>
    </row>
    <row r="95" spans="1:38" x14ac:dyDescent="0.3">
      <c r="A95" s="15"/>
      <c r="I95" s="6"/>
      <c r="J95" s="6"/>
      <c r="K95" s="6"/>
      <c r="L95" s="6"/>
      <c r="M95" s="6"/>
      <c r="N95" s="6"/>
      <c r="O95" s="6"/>
      <c r="P95" s="5"/>
      <c r="Q95" s="5"/>
      <c r="R95" s="5"/>
      <c r="S95" s="5"/>
      <c r="T95" s="5"/>
      <c r="U95" s="5"/>
      <c r="V95" s="5"/>
    </row>
    <row r="96" spans="1:38" x14ac:dyDescent="0.3">
      <c r="A96" s="15"/>
      <c r="I96" s="6"/>
      <c r="J96" s="6"/>
      <c r="K96" s="6"/>
      <c r="L96" s="6"/>
      <c r="M96" s="6"/>
      <c r="N96" s="6"/>
      <c r="O96" s="6"/>
      <c r="P96" s="5"/>
      <c r="Q96" s="5"/>
      <c r="R96" s="5"/>
      <c r="S96" s="5"/>
      <c r="T96" s="5"/>
      <c r="U96" s="5"/>
      <c r="V96" s="5"/>
    </row>
    <row r="97" spans="1:54" x14ac:dyDescent="0.3">
      <c r="A97" s="15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5"/>
      <c r="V97" s="5"/>
    </row>
    <row r="98" spans="1:54" x14ac:dyDescent="0.3">
      <c r="A98" s="15"/>
      <c r="I98" s="6"/>
      <c r="J98" s="6"/>
      <c r="K98" s="6"/>
      <c r="L98" s="6"/>
      <c r="M98" s="6"/>
      <c r="N98" s="6"/>
      <c r="O98" s="6"/>
      <c r="P98" s="5"/>
      <c r="Q98" s="5"/>
      <c r="R98" s="5"/>
      <c r="S98" s="5"/>
      <c r="T98" s="5"/>
      <c r="U98" s="5"/>
      <c r="V98" s="5"/>
    </row>
    <row r="99" spans="1:54" x14ac:dyDescent="0.3">
      <c r="A99" s="15"/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5"/>
      <c r="U99" s="5"/>
      <c r="V99" s="5"/>
    </row>
    <row r="100" spans="1:54" ht="13.5" thickBot="1" x14ac:dyDescent="0.35"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5"/>
      <c r="T100" s="5"/>
      <c r="U100" s="5"/>
      <c r="V100" s="5"/>
      <c r="AQ100" s="55"/>
    </row>
    <row r="101" spans="1:54" x14ac:dyDescent="0.3">
      <c r="A101" s="17"/>
      <c r="B101" s="18"/>
      <c r="C101" s="18"/>
      <c r="D101" s="18"/>
      <c r="E101" s="18"/>
      <c r="F101" s="18"/>
      <c r="G101" s="18"/>
      <c r="H101" s="18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20"/>
      <c r="V101" s="20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1"/>
    </row>
    <row r="102" spans="1:54" x14ac:dyDescent="0.3">
      <c r="A102" s="22"/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5"/>
      <c r="T102" s="5"/>
      <c r="U102" s="5"/>
      <c r="V102" s="5"/>
      <c r="AM102" s="23"/>
    </row>
    <row r="103" spans="1:54" x14ac:dyDescent="0.3">
      <c r="A103" s="22"/>
      <c r="AM103" s="23"/>
    </row>
    <row r="104" spans="1:54" ht="14.15" customHeight="1" x14ac:dyDescent="0.3">
      <c r="A104" s="22"/>
      <c r="AM104" s="23"/>
    </row>
    <row r="105" spans="1:54" x14ac:dyDescent="0.3">
      <c r="A105" s="22"/>
      <c r="AM105" s="23"/>
    </row>
    <row r="106" spans="1:54" ht="13.5" thickBot="1" x14ac:dyDescent="0.35">
      <c r="A106" s="28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30"/>
    </row>
    <row r="107" spans="1:54" ht="14.15" customHeight="1" x14ac:dyDescent="0.3">
      <c r="A107" s="584" t="s">
        <v>57</v>
      </c>
      <c r="B107" s="585"/>
      <c r="C107" s="585"/>
      <c r="D107" s="585"/>
      <c r="E107" s="585"/>
      <c r="F107" s="586"/>
      <c r="G107" s="587" t="s">
        <v>58</v>
      </c>
      <c r="H107" s="588"/>
      <c r="I107" s="588"/>
      <c r="J107" s="588"/>
      <c r="K107" s="588"/>
      <c r="L107" s="588"/>
      <c r="M107" s="588"/>
      <c r="N107" s="588"/>
      <c r="O107" s="588"/>
      <c r="P107" s="588"/>
      <c r="Q107" s="588"/>
      <c r="R107" s="588"/>
      <c r="S107" s="588"/>
      <c r="T107" s="588"/>
      <c r="U107" s="588"/>
      <c r="V107" s="588"/>
      <c r="W107" s="588"/>
      <c r="X107" s="588"/>
      <c r="Y107" s="588"/>
      <c r="Z107" s="588"/>
      <c r="AA107" s="588"/>
      <c r="AB107" s="588"/>
      <c r="AC107" s="588"/>
      <c r="AD107" s="588"/>
      <c r="AE107" s="588"/>
      <c r="AF107" s="588"/>
      <c r="AG107" s="588"/>
      <c r="AH107" s="588"/>
      <c r="AI107" s="588"/>
      <c r="AJ107" s="588"/>
      <c r="AK107" s="588"/>
      <c r="AL107" s="588"/>
      <c r="AM107" s="589"/>
      <c r="AN107" s="515"/>
      <c r="AO107" s="25"/>
      <c r="AP107" s="25"/>
    </row>
    <row r="108" spans="1:54" ht="14.15" customHeight="1" x14ac:dyDescent="0.3">
      <c r="A108" s="590" t="s">
        <v>59</v>
      </c>
      <c r="B108" s="591"/>
      <c r="C108" s="591"/>
      <c r="D108" s="591"/>
      <c r="E108" s="591"/>
      <c r="F108" s="592"/>
      <c r="G108" s="593" t="s">
        <v>60</v>
      </c>
      <c r="H108" s="594"/>
      <c r="I108" s="594"/>
      <c r="J108" s="594"/>
      <c r="K108" s="594"/>
      <c r="L108" s="594"/>
      <c r="M108" s="594"/>
      <c r="N108" s="594"/>
      <c r="O108" s="594"/>
      <c r="P108" s="594"/>
      <c r="Q108" s="594"/>
      <c r="R108" s="594"/>
      <c r="S108" s="594"/>
      <c r="T108" s="594"/>
      <c r="U108" s="594"/>
      <c r="V108" s="594"/>
      <c r="W108" s="594"/>
      <c r="X108" s="594"/>
      <c r="Y108" s="594"/>
      <c r="Z108" s="594"/>
      <c r="AA108" s="594"/>
      <c r="AB108" s="594"/>
      <c r="AC108" s="594"/>
      <c r="AD108" s="594"/>
      <c r="AE108" s="594"/>
      <c r="AF108" s="594"/>
      <c r="AG108" s="594"/>
      <c r="AH108" s="594"/>
      <c r="AI108" s="594"/>
      <c r="AJ108" s="594"/>
      <c r="AK108" s="594"/>
      <c r="AL108" s="594"/>
      <c r="AM108" s="595"/>
      <c r="AN108" s="515"/>
      <c r="AO108" s="25"/>
      <c r="AP108" s="25"/>
    </row>
    <row r="109" spans="1:54" ht="14.15" customHeight="1" x14ac:dyDescent="0.3">
      <c r="A109" s="590" t="s">
        <v>61</v>
      </c>
      <c r="B109" s="591"/>
      <c r="C109" s="591"/>
      <c r="D109" s="591"/>
      <c r="E109" s="591"/>
      <c r="F109" s="592"/>
      <c r="G109" s="593" t="s">
        <v>62</v>
      </c>
      <c r="H109" s="594"/>
      <c r="I109" s="594"/>
      <c r="J109" s="594"/>
      <c r="K109" s="594"/>
      <c r="L109" s="594"/>
      <c r="M109" s="594"/>
      <c r="N109" s="594"/>
      <c r="O109" s="594"/>
      <c r="P109" s="594"/>
      <c r="Q109" s="594"/>
      <c r="R109" s="594"/>
      <c r="S109" s="594"/>
      <c r="T109" s="594"/>
      <c r="U109" s="594"/>
      <c r="V109" s="594"/>
      <c r="W109" s="594"/>
      <c r="X109" s="594"/>
      <c r="Y109" s="594"/>
      <c r="Z109" s="594"/>
      <c r="AA109" s="594"/>
      <c r="AB109" s="594"/>
      <c r="AC109" s="594"/>
      <c r="AD109" s="594"/>
      <c r="AE109" s="594"/>
      <c r="AF109" s="594"/>
      <c r="AG109" s="594"/>
      <c r="AH109" s="594"/>
      <c r="AI109" s="594"/>
      <c r="AJ109" s="594"/>
      <c r="AK109" s="594"/>
      <c r="AL109" s="594"/>
      <c r="AM109" s="595"/>
      <c r="AN109" s="515"/>
      <c r="AO109" s="25"/>
      <c r="AP109" s="25"/>
    </row>
    <row r="110" spans="1:54" ht="14.15" customHeight="1" x14ac:dyDescent="0.3">
      <c r="A110" s="590" t="s">
        <v>63</v>
      </c>
      <c r="B110" s="591"/>
      <c r="C110" s="591"/>
      <c r="D110" s="591"/>
      <c r="E110" s="591"/>
      <c r="F110" s="592"/>
      <c r="G110" s="593" t="s">
        <v>64</v>
      </c>
      <c r="H110" s="594"/>
      <c r="I110" s="594"/>
      <c r="J110" s="594"/>
      <c r="K110" s="594"/>
      <c r="L110" s="594"/>
      <c r="M110" s="594"/>
      <c r="N110" s="594"/>
      <c r="O110" s="594"/>
      <c r="P110" s="594"/>
      <c r="Q110" s="594"/>
      <c r="R110" s="594"/>
      <c r="S110" s="594"/>
      <c r="T110" s="594"/>
      <c r="U110" s="594"/>
      <c r="V110" s="594"/>
      <c r="W110" s="594"/>
      <c r="X110" s="594"/>
      <c r="Y110" s="594"/>
      <c r="Z110" s="594"/>
      <c r="AA110" s="594"/>
      <c r="AB110" s="594"/>
      <c r="AC110" s="594"/>
      <c r="AD110" s="594"/>
      <c r="AE110" s="594"/>
      <c r="AF110" s="594"/>
      <c r="AG110" s="594"/>
      <c r="AH110" s="594"/>
      <c r="AI110" s="594"/>
      <c r="AJ110" s="594"/>
      <c r="AK110" s="594"/>
      <c r="AL110" s="594"/>
      <c r="AM110" s="595"/>
      <c r="AN110" s="515"/>
      <c r="AO110" s="25"/>
      <c r="AP110" s="25"/>
    </row>
    <row r="111" spans="1:54" ht="14.15" customHeight="1" thickBot="1" x14ac:dyDescent="0.35">
      <c r="A111" s="590" t="s">
        <v>65</v>
      </c>
      <c r="B111" s="591"/>
      <c r="C111" s="591"/>
      <c r="D111" s="591"/>
      <c r="E111" s="591"/>
      <c r="F111" s="592"/>
      <c r="G111" s="600" t="s">
        <v>66</v>
      </c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01"/>
      <c r="AB111" s="601"/>
      <c r="AC111" s="601"/>
      <c r="AD111" s="601"/>
      <c r="AE111" s="601"/>
      <c r="AF111" s="601"/>
      <c r="AG111" s="601"/>
      <c r="AH111" s="601"/>
      <c r="AI111" s="601"/>
      <c r="AJ111" s="601"/>
      <c r="AK111" s="601"/>
      <c r="AL111" s="601"/>
      <c r="AM111" s="602"/>
      <c r="AN111" s="515"/>
      <c r="AO111" s="25"/>
      <c r="AP111" s="25"/>
    </row>
    <row r="112" spans="1:54" s="10" customFormat="1" ht="28.5" customHeight="1" thickBot="1" x14ac:dyDescent="0.4">
      <c r="A112" s="73" t="s">
        <v>67</v>
      </c>
      <c r="B112" s="603" t="s">
        <v>68</v>
      </c>
      <c r="C112" s="603"/>
      <c r="D112" s="604" t="s">
        <v>69</v>
      </c>
      <c r="E112" s="605"/>
      <c r="F112" s="605"/>
      <c r="G112" s="605"/>
      <c r="H112" s="605"/>
      <c r="I112" s="605"/>
      <c r="J112" s="605"/>
      <c r="K112" s="605"/>
      <c r="L112" s="605"/>
      <c r="M112" s="605"/>
      <c r="N112" s="605"/>
      <c r="O112" s="605"/>
      <c r="P112" s="605"/>
      <c r="Q112" s="605"/>
      <c r="R112" s="605"/>
      <c r="S112" s="605"/>
      <c r="T112" s="605"/>
      <c r="U112" s="605"/>
      <c r="V112" s="605"/>
      <c r="W112" s="605"/>
      <c r="X112" s="605"/>
      <c r="Y112" s="605"/>
      <c r="Z112" s="605"/>
      <c r="AA112" s="605"/>
      <c r="AB112" s="605"/>
      <c r="AC112" s="605"/>
      <c r="AD112" s="605"/>
      <c r="AE112" s="605"/>
      <c r="AF112" s="605"/>
      <c r="AG112" s="605"/>
      <c r="AH112" s="605"/>
      <c r="AI112" s="605"/>
      <c r="AJ112" s="605"/>
      <c r="AK112" s="74" t="s">
        <v>70</v>
      </c>
      <c r="AL112" s="74" t="s">
        <v>71</v>
      </c>
      <c r="AM112" s="75" t="s">
        <v>72</v>
      </c>
      <c r="AN112" s="24" t="s">
        <v>73</v>
      </c>
      <c r="AO112" s="111" t="s">
        <v>74</v>
      </c>
      <c r="AP112" s="112" t="s">
        <v>75</v>
      </c>
      <c r="AQ112" s="114" t="s">
        <v>76</v>
      </c>
      <c r="AR112" s="114" t="s">
        <v>77</v>
      </c>
      <c r="AS112" s="114" t="s">
        <v>78</v>
      </c>
      <c r="AT112" s="114" t="s">
        <v>79</v>
      </c>
      <c r="AU112" s="114" t="s">
        <v>80</v>
      </c>
      <c r="AV112" s="114" t="s">
        <v>81</v>
      </c>
      <c r="AW112" s="114" t="s">
        <v>82</v>
      </c>
      <c r="AX112" s="114" t="s">
        <v>83</v>
      </c>
      <c r="AY112" s="114" t="s">
        <v>84</v>
      </c>
      <c r="AZ112" s="114" t="s">
        <v>85</v>
      </c>
      <c r="BA112" s="114" t="s">
        <v>86</v>
      </c>
      <c r="BB112" s="115" t="s">
        <v>87</v>
      </c>
    </row>
    <row r="113" spans="1:54" s="7" customFormat="1" ht="13.9" customHeight="1" x14ac:dyDescent="0.35">
      <c r="A113" s="100">
        <v>46143</v>
      </c>
      <c r="B113" s="606"/>
      <c r="C113" s="606"/>
      <c r="D113" s="607"/>
      <c r="E113" s="607"/>
      <c r="F113" s="607"/>
      <c r="G113" s="607"/>
      <c r="H113" s="607"/>
      <c r="I113" s="607"/>
      <c r="J113" s="607"/>
      <c r="K113" s="607"/>
      <c r="L113" s="607"/>
      <c r="M113" s="607"/>
      <c r="N113" s="607"/>
      <c r="O113" s="607"/>
      <c r="P113" s="607"/>
      <c r="Q113" s="607"/>
      <c r="R113" s="607"/>
      <c r="S113" s="607"/>
      <c r="T113" s="607"/>
      <c r="U113" s="607"/>
      <c r="V113" s="607"/>
      <c r="W113" s="607"/>
      <c r="X113" s="607"/>
      <c r="Y113" s="607"/>
      <c r="Z113" s="607"/>
      <c r="AA113" s="607"/>
      <c r="AB113" s="607"/>
      <c r="AC113" s="607"/>
      <c r="AD113" s="607"/>
      <c r="AE113" s="607"/>
      <c r="AF113" s="607"/>
      <c r="AG113" s="607"/>
      <c r="AH113" s="607"/>
      <c r="AI113" s="607"/>
      <c r="AJ113" s="607"/>
      <c r="AK113" s="124"/>
      <c r="AL113" s="125"/>
      <c r="AM113" s="96"/>
      <c r="AN113" s="126"/>
      <c r="AO113" s="127">
        <f t="shared" ref="AO113:AO143" si="5">A113</f>
        <v>46143</v>
      </c>
      <c r="AP113" s="128" t="str">
        <f t="shared" ref="AP113:AP143" si="6">LEFT(D113,6)</f>
        <v/>
      </c>
      <c r="AQ113" s="129"/>
      <c r="AR113" s="130"/>
      <c r="AS113" s="130"/>
      <c r="AT113" s="131"/>
      <c r="AU113" s="130"/>
      <c r="AV113" s="131"/>
      <c r="AW113" s="130"/>
      <c r="AX113" s="131"/>
      <c r="AY113" s="130"/>
      <c r="AZ113" s="130"/>
      <c r="BA113" s="132"/>
      <c r="BB113" s="133"/>
    </row>
    <row r="114" spans="1:54" s="7" customFormat="1" ht="13.9" customHeight="1" x14ac:dyDescent="0.35">
      <c r="A114" s="76">
        <v>46144</v>
      </c>
      <c r="B114" s="596"/>
      <c r="C114" s="596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  <c r="N114" s="597"/>
      <c r="O114" s="597"/>
      <c r="P114" s="597"/>
      <c r="Q114" s="597"/>
      <c r="R114" s="597"/>
      <c r="S114" s="597"/>
      <c r="T114" s="597"/>
      <c r="U114" s="597"/>
      <c r="V114" s="597"/>
      <c r="W114" s="597"/>
      <c r="X114" s="597"/>
      <c r="Y114" s="597"/>
      <c r="Z114" s="597"/>
      <c r="AA114" s="597"/>
      <c r="AB114" s="597"/>
      <c r="AC114" s="597"/>
      <c r="AD114" s="597"/>
      <c r="AE114" s="597"/>
      <c r="AF114" s="597"/>
      <c r="AG114" s="597"/>
      <c r="AH114" s="597"/>
      <c r="AI114" s="597"/>
      <c r="AJ114" s="597"/>
      <c r="AK114" s="134"/>
      <c r="AL114" s="135"/>
      <c r="AM114" s="72"/>
      <c r="AN114" s="110"/>
      <c r="AO114" s="136">
        <f t="shared" si="5"/>
        <v>46144</v>
      </c>
      <c r="AP114" s="137" t="str">
        <f t="shared" si="6"/>
        <v/>
      </c>
      <c r="AQ114" s="104"/>
      <c r="AR114" s="105"/>
      <c r="AS114" s="105"/>
      <c r="AT114" s="430"/>
      <c r="AU114" s="105"/>
      <c r="AV114" s="108"/>
      <c r="AW114" s="105"/>
      <c r="AX114" s="107"/>
      <c r="AY114" s="105"/>
      <c r="AZ114" s="106"/>
      <c r="BA114" s="113"/>
      <c r="BB114" s="140"/>
    </row>
    <row r="115" spans="1:54" s="7" customFormat="1" ht="13.9" customHeight="1" thickBot="1" x14ac:dyDescent="0.4">
      <c r="A115" s="76">
        <v>46145</v>
      </c>
      <c r="B115" s="596"/>
      <c r="C115" s="596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597"/>
      <c r="O115" s="597"/>
      <c r="P115" s="597"/>
      <c r="Q115" s="597"/>
      <c r="R115" s="597"/>
      <c r="S115" s="597"/>
      <c r="T115" s="597"/>
      <c r="U115" s="597"/>
      <c r="V115" s="597"/>
      <c r="W115" s="597"/>
      <c r="X115" s="597"/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134"/>
      <c r="AL115" s="135"/>
      <c r="AM115" s="72"/>
      <c r="AN115" s="110"/>
      <c r="AO115" s="136">
        <f t="shared" si="5"/>
        <v>46145</v>
      </c>
      <c r="AP115" s="137" t="str">
        <f t="shared" si="6"/>
        <v/>
      </c>
      <c r="AQ115" s="104"/>
      <c r="AR115" s="105"/>
      <c r="AS115" s="105"/>
      <c r="AT115" s="108"/>
      <c r="AU115" s="105"/>
      <c r="AV115" s="108"/>
      <c r="AW115" s="105"/>
      <c r="AX115" s="107"/>
      <c r="AY115" s="105"/>
      <c r="AZ115" s="197"/>
      <c r="BA115" s="113"/>
      <c r="BB115" s="140"/>
    </row>
    <row r="116" spans="1:54" s="7" customFormat="1" ht="27" customHeight="1" thickBot="1" x14ac:dyDescent="0.4">
      <c r="A116" s="171">
        <v>46146</v>
      </c>
      <c r="B116" s="598" t="s">
        <v>88</v>
      </c>
      <c r="C116" s="598"/>
      <c r="D116" s="508"/>
      <c r="E116" s="508"/>
      <c r="F116" s="508"/>
      <c r="G116" s="508"/>
      <c r="H116" s="508"/>
      <c r="I116" s="508"/>
      <c r="J116" s="508"/>
      <c r="K116" s="508"/>
      <c r="L116" s="508"/>
      <c r="M116" s="508"/>
      <c r="N116" s="508"/>
      <c r="O116" s="508"/>
      <c r="P116" s="508"/>
      <c r="Q116" s="508"/>
      <c r="R116" s="508"/>
      <c r="S116" s="508"/>
      <c r="T116" s="508"/>
      <c r="U116" s="508"/>
      <c r="V116" s="508"/>
      <c r="W116" s="508"/>
      <c r="X116" s="508"/>
      <c r="Y116" s="508"/>
      <c r="Z116" s="508"/>
      <c r="AA116" s="508"/>
      <c r="AB116" s="508"/>
      <c r="AC116" s="508"/>
      <c r="AD116" s="508"/>
      <c r="AE116" s="508"/>
      <c r="AF116" s="508"/>
      <c r="AG116" s="508"/>
      <c r="AH116" s="508"/>
      <c r="AI116" s="508"/>
      <c r="AJ116" s="508"/>
      <c r="AK116" s="172"/>
      <c r="AL116" s="173"/>
      <c r="AM116" s="174">
        <f>IF(AL116="CO", "CO", IF(COUNTIF(AO:AO, A116)=0, 0, (8-SUMIF(AO:AO, A116, AL:AL)) / COUNTIF(AO:AO, A116)))</f>
        <v>8</v>
      </c>
      <c r="AN116" s="175"/>
      <c r="AO116" s="176">
        <f t="shared" si="5"/>
        <v>46146</v>
      </c>
      <c r="AP116" s="177" t="str">
        <f t="shared" si="6"/>
        <v/>
      </c>
      <c r="AQ116" s="178"/>
      <c r="AR116" s="179"/>
      <c r="AS116" s="179"/>
      <c r="AT116" s="180"/>
      <c r="AU116" s="179"/>
      <c r="AV116" s="180"/>
      <c r="AW116" s="179"/>
      <c r="AX116" s="102"/>
      <c r="AY116" s="179"/>
      <c r="AZ116" s="228"/>
      <c r="BA116" s="181"/>
      <c r="BB116" s="182"/>
    </row>
    <row r="117" spans="1:54" s="7" customFormat="1" ht="27" customHeight="1" thickBot="1" x14ac:dyDescent="0.4">
      <c r="A117" s="171">
        <v>46147</v>
      </c>
      <c r="B117" s="598" t="s">
        <v>88</v>
      </c>
      <c r="C117" s="598"/>
      <c r="D117" s="508"/>
      <c r="E117" s="508"/>
      <c r="F117" s="508"/>
      <c r="G117" s="508"/>
      <c r="H117" s="508"/>
      <c r="I117" s="508"/>
      <c r="J117" s="508"/>
      <c r="K117" s="508"/>
      <c r="L117" s="508"/>
      <c r="M117" s="508"/>
      <c r="N117" s="508"/>
      <c r="O117" s="508"/>
      <c r="P117" s="508"/>
      <c r="Q117" s="508"/>
      <c r="R117" s="508"/>
      <c r="S117" s="508"/>
      <c r="T117" s="508"/>
      <c r="U117" s="508"/>
      <c r="V117" s="508"/>
      <c r="W117" s="508"/>
      <c r="X117" s="508"/>
      <c r="Y117" s="508"/>
      <c r="Z117" s="508"/>
      <c r="AA117" s="508"/>
      <c r="AB117" s="508"/>
      <c r="AC117" s="508"/>
      <c r="AD117" s="508"/>
      <c r="AE117" s="508"/>
      <c r="AF117" s="508"/>
      <c r="AG117" s="508"/>
      <c r="AH117" s="508"/>
      <c r="AI117" s="508"/>
      <c r="AJ117" s="508"/>
      <c r="AK117" s="172"/>
      <c r="AL117" s="173"/>
      <c r="AM117" s="174">
        <f>IF(AL117="CO", "CO", IF(COUNTIF(AO:AO, A117)=0, 0, (8-SUMIF(AO:AO, A117, AL:AL)) / COUNTIF(AO:AO, A117)))</f>
        <v>8</v>
      </c>
      <c r="AN117" s="175"/>
      <c r="AO117" s="176">
        <f t="shared" si="5"/>
        <v>46147</v>
      </c>
      <c r="AP117" s="177" t="str">
        <f t="shared" si="6"/>
        <v/>
      </c>
      <c r="AQ117" s="178"/>
      <c r="AR117" s="183"/>
      <c r="AS117" s="179"/>
      <c r="AT117" s="184"/>
      <c r="AU117" s="179"/>
      <c r="AV117" s="184"/>
      <c r="AW117" s="179"/>
      <c r="AX117" s="103"/>
      <c r="AY117" s="179"/>
      <c r="AZ117" s="103"/>
      <c r="BA117" s="181"/>
      <c r="BB117" s="182"/>
    </row>
    <row r="118" spans="1:54" s="7" customFormat="1" ht="27" customHeight="1" thickBot="1" x14ac:dyDescent="0.4">
      <c r="A118" s="171">
        <v>46148</v>
      </c>
      <c r="B118" s="598" t="s">
        <v>88</v>
      </c>
      <c r="C118" s="598"/>
      <c r="D118" s="508"/>
      <c r="E118" s="508"/>
      <c r="F118" s="508"/>
      <c r="G118" s="508"/>
      <c r="H118" s="508"/>
      <c r="I118" s="508"/>
      <c r="J118" s="508"/>
      <c r="K118" s="508"/>
      <c r="L118" s="508"/>
      <c r="M118" s="508"/>
      <c r="N118" s="508"/>
      <c r="O118" s="508"/>
      <c r="P118" s="508"/>
      <c r="Q118" s="508"/>
      <c r="R118" s="508"/>
      <c r="S118" s="508"/>
      <c r="T118" s="508"/>
      <c r="U118" s="508"/>
      <c r="V118" s="508"/>
      <c r="W118" s="508"/>
      <c r="X118" s="508"/>
      <c r="Y118" s="508"/>
      <c r="Z118" s="508"/>
      <c r="AA118" s="508"/>
      <c r="AB118" s="508"/>
      <c r="AC118" s="508"/>
      <c r="AD118" s="508"/>
      <c r="AE118" s="508"/>
      <c r="AF118" s="508"/>
      <c r="AG118" s="508"/>
      <c r="AH118" s="508"/>
      <c r="AI118" s="508"/>
      <c r="AJ118" s="508"/>
      <c r="AK118" s="172"/>
      <c r="AL118" s="173"/>
      <c r="AM118" s="174">
        <f>IF(AL118="CO", "CO", IF(COUNTIF(AO:AO, A118)=0, 0, (8-SUMIF(AO:AO, A118, AL:AL)) / COUNTIF(AO:AO, A118)))</f>
        <v>8</v>
      </c>
      <c r="AN118" s="175"/>
      <c r="AO118" s="176">
        <f t="shared" si="5"/>
        <v>46148</v>
      </c>
      <c r="AP118" s="177" t="str">
        <f t="shared" si="6"/>
        <v/>
      </c>
      <c r="AQ118" s="178"/>
      <c r="AR118" s="183"/>
      <c r="AS118" s="179"/>
      <c r="AT118" s="71"/>
      <c r="AU118" s="179"/>
      <c r="AV118" s="184"/>
      <c r="AW118" s="179"/>
      <c r="AX118" s="103"/>
      <c r="AY118" s="179"/>
      <c r="AZ118" s="103"/>
      <c r="BA118" s="181"/>
      <c r="BB118" s="182"/>
    </row>
    <row r="119" spans="1:54" s="7" customFormat="1" ht="27" customHeight="1" thickBot="1" x14ac:dyDescent="0.4">
      <c r="A119" s="171">
        <v>46149</v>
      </c>
      <c r="B119" s="598" t="s">
        <v>88</v>
      </c>
      <c r="C119" s="598"/>
      <c r="D119" s="508"/>
      <c r="E119" s="508"/>
      <c r="F119" s="508"/>
      <c r="G119" s="508"/>
      <c r="H119" s="508"/>
      <c r="I119" s="508"/>
      <c r="J119" s="508"/>
      <c r="K119" s="508"/>
      <c r="L119" s="508"/>
      <c r="M119" s="508"/>
      <c r="N119" s="508"/>
      <c r="O119" s="508"/>
      <c r="P119" s="508"/>
      <c r="Q119" s="508"/>
      <c r="R119" s="508"/>
      <c r="S119" s="508"/>
      <c r="T119" s="508"/>
      <c r="U119" s="508"/>
      <c r="V119" s="508"/>
      <c r="W119" s="508"/>
      <c r="X119" s="508"/>
      <c r="Y119" s="508"/>
      <c r="Z119" s="508"/>
      <c r="AA119" s="508"/>
      <c r="AB119" s="508"/>
      <c r="AC119" s="508"/>
      <c r="AD119" s="508"/>
      <c r="AE119" s="508"/>
      <c r="AF119" s="508"/>
      <c r="AG119" s="508"/>
      <c r="AH119" s="508"/>
      <c r="AI119" s="508"/>
      <c r="AJ119" s="508"/>
      <c r="AK119" s="172"/>
      <c r="AL119" s="173"/>
      <c r="AM119" s="174">
        <f>IF(AL119="CO", "CO", IF(COUNTIF(AO:AO, A119)=0, 0, (8-SUMIF(AO:AO, A119, AL:AL)) / COUNTIF(AO:AO, A119)))</f>
        <v>8</v>
      </c>
      <c r="AN119" s="175"/>
      <c r="AO119" s="176">
        <f t="shared" si="5"/>
        <v>46149</v>
      </c>
      <c r="AP119" s="177" t="str">
        <f t="shared" si="6"/>
        <v/>
      </c>
      <c r="AQ119" s="178"/>
      <c r="AR119" s="183"/>
      <c r="AS119" s="179"/>
      <c r="AT119"/>
      <c r="AU119" s="179"/>
      <c r="AV119" s="184"/>
      <c r="AW119" s="179"/>
      <c r="AX119" s="180"/>
      <c r="AY119" s="179"/>
      <c r="AZ119" s="181"/>
      <c r="BA119" s="181"/>
      <c r="BB119" s="182"/>
    </row>
    <row r="120" spans="1:54" s="7" customFormat="1" ht="27" customHeight="1" x14ac:dyDescent="0.35">
      <c r="A120" s="171">
        <v>46150</v>
      </c>
      <c r="B120" s="598" t="s">
        <v>88</v>
      </c>
      <c r="C120" s="598"/>
      <c r="D120" s="508" t="s">
        <v>211</v>
      </c>
      <c r="E120" s="508"/>
      <c r="F120" s="508"/>
      <c r="G120" s="508"/>
      <c r="H120" s="508"/>
      <c r="I120" s="508"/>
      <c r="J120" s="508"/>
      <c r="K120" s="508"/>
      <c r="L120" s="508"/>
      <c r="M120" s="508"/>
      <c r="N120" s="508"/>
      <c r="O120" s="508"/>
      <c r="P120" s="508"/>
      <c r="Q120" s="508"/>
      <c r="R120" s="508"/>
      <c r="S120" s="508"/>
      <c r="T120" s="508"/>
      <c r="U120" s="508"/>
      <c r="V120" s="508"/>
      <c r="W120" s="508"/>
      <c r="X120" s="508"/>
      <c r="Y120" s="508"/>
      <c r="Z120" s="508"/>
      <c r="AA120" s="508"/>
      <c r="AB120" s="508"/>
      <c r="AC120" s="508"/>
      <c r="AD120" s="508"/>
      <c r="AE120" s="508"/>
      <c r="AF120" s="508"/>
      <c r="AG120" s="508"/>
      <c r="AH120" s="508"/>
      <c r="AI120" s="508"/>
      <c r="AJ120" s="508"/>
      <c r="AK120" s="172"/>
      <c r="AL120" s="173">
        <v>4</v>
      </c>
      <c r="AM120" s="174">
        <f>IF(AL120="CO", "CO", IF(COUNTIF(AO:AO, A120)=0, 0, (8-SUMIF(AO:AO, A120, AL:AL)) / COUNTIF(AO:AO, A120)))</f>
        <v>4</v>
      </c>
      <c r="AN120" s="350" t="s">
        <v>221</v>
      </c>
      <c r="AO120" s="176">
        <f t="shared" si="5"/>
        <v>46150</v>
      </c>
      <c r="AP120" s="177" t="str">
        <f t="shared" si="6"/>
        <v>SA3.2.</v>
      </c>
      <c r="AQ120" s="178"/>
      <c r="AR120" s="179"/>
      <c r="AS120" s="179"/>
      <c r="AT120" s="180"/>
      <c r="AU120" s="179"/>
      <c r="AV120" s="186"/>
      <c r="AW120" s="179"/>
      <c r="AX120" s="102"/>
      <c r="AY120" s="179"/>
      <c r="AZ120" s="179"/>
      <c r="BA120" s="181"/>
      <c r="BB120" s="182"/>
    </row>
    <row r="121" spans="1:54" s="7" customFormat="1" ht="13.9" customHeight="1" x14ac:dyDescent="0.35">
      <c r="A121" s="76">
        <v>46151</v>
      </c>
      <c r="B121" s="596"/>
      <c r="C121" s="596"/>
      <c r="D121" s="597"/>
      <c r="E121" s="597"/>
      <c r="F121" s="597"/>
      <c r="G121" s="597"/>
      <c r="H121" s="597"/>
      <c r="I121" s="597"/>
      <c r="J121" s="597"/>
      <c r="K121" s="597"/>
      <c r="L121" s="597"/>
      <c r="M121" s="597"/>
      <c r="N121" s="597"/>
      <c r="O121" s="597"/>
      <c r="P121" s="597"/>
      <c r="Q121" s="597"/>
      <c r="R121" s="597"/>
      <c r="S121" s="597"/>
      <c r="T121" s="597"/>
      <c r="U121" s="597"/>
      <c r="V121" s="597"/>
      <c r="W121" s="597"/>
      <c r="X121" s="597"/>
      <c r="Y121" s="597"/>
      <c r="Z121" s="597"/>
      <c r="AA121" s="597"/>
      <c r="AB121" s="597"/>
      <c r="AC121" s="597"/>
      <c r="AD121" s="597"/>
      <c r="AE121" s="597"/>
      <c r="AF121" s="597"/>
      <c r="AG121" s="597"/>
      <c r="AH121" s="597"/>
      <c r="AI121" s="597"/>
      <c r="AJ121" s="597"/>
      <c r="AK121" s="134"/>
      <c r="AL121" s="135"/>
      <c r="AM121" s="72"/>
      <c r="AN121" s="110"/>
      <c r="AO121" s="136">
        <f t="shared" si="5"/>
        <v>46151</v>
      </c>
      <c r="AP121" s="137" t="str">
        <f t="shared" si="6"/>
        <v/>
      </c>
      <c r="AQ121" s="104"/>
      <c r="AR121" s="105"/>
      <c r="AS121" s="105"/>
      <c r="AT121" s="108"/>
      <c r="AU121" s="105"/>
      <c r="AV121" s="108"/>
      <c r="AW121" s="105"/>
      <c r="AX121" s="107"/>
      <c r="AY121" s="105"/>
      <c r="AZ121" s="105"/>
      <c r="BA121" s="113"/>
      <c r="BB121" s="140"/>
    </row>
    <row r="122" spans="1:54" s="7" customFormat="1" ht="13.9" customHeight="1" x14ac:dyDescent="0.35">
      <c r="A122" s="76">
        <v>46152</v>
      </c>
      <c r="B122" s="596"/>
      <c r="C122" s="596"/>
      <c r="D122" s="597"/>
      <c r="E122" s="597"/>
      <c r="F122" s="597"/>
      <c r="G122" s="597"/>
      <c r="H122" s="597"/>
      <c r="I122" s="597"/>
      <c r="J122" s="597"/>
      <c r="K122" s="597"/>
      <c r="L122" s="597"/>
      <c r="M122" s="597"/>
      <c r="N122" s="597"/>
      <c r="O122" s="597"/>
      <c r="P122" s="597"/>
      <c r="Q122" s="597"/>
      <c r="R122" s="597"/>
      <c r="S122" s="597"/>
      <c r="T122" s="597"/>
      <c r="U122" s="597"/>
      <c r="V122" s="597"/>
      <c r="W122" s="597"/>
      <c r="X122" s="597"/>
      <c r="Y122" s="597"/>
      <c r="Z122" s="597"/>
      <c r="AA122" s="597"/>
      <c r="AB122" s="597"/>
      <c r="AC122" s="597"/>
      <c r="AD122" s="597"/>
      <c r="AE122" s="597"/>
      <c r="AF122" s="597"/>
      <c r="AG122" s="597"/>
      <c r="AH122" s="597"/>
      <c r="AI122" s="597"/>
      <c r="AJ122" s="597"/>
      <c r="AK122" s="134"/>
      <c r="AL122" s="135"/>
      <c r="AM122" s="67"/>
      <c r="AN122" s="110"/>
      <c r="AO122" s="136">
        <f t="shared" si="5"/>
        <v>46152</v>
      </c>
      <c r="AP122" s="137" t="str">
        <f t="shared" si="6"/>
        <v/>
      </c>
      <c r="AQ122" s="104"/>
      <c r="AR122" s="105"/>
      <c r="AS122" s="105"/>
      <c r="AT122" s="107"/>
      <c r="AU122" s="105"/>
      <c r="AV122" s="431"/>
      <c r="AW122" s="105"/>
      <c r="AX122" s="107"/>
      <c r="AY122" s="105"/>
      <c r="AZ122" s="105"/>
      <c r="BA122" s="113"/>
      <c r="BB122" s="140"/>
    </row>
    <row r="123" spans="1:54" s="7" customFormat="1" ht="27" customHeight="1" x14ac:dyDescent="0.35">
      <c r="A123" s="171">
        <v>46153</v>
      </c>
      <c r="B123" s="598" t="s">
        <v>88</v>
      </c>
      <c r="C123" s="598"/>
      <c r="D123" s="599"/>
      <c r="E123" s="599"/>
      <c r="F123" s="599"/>
      <c r="G123" s="599"/>
      <c r="H123" s="599"/>
      <c r="I123" s="599"/>
      <c r="J123" s="599"/>
      <c r="K123" s="599"/>
      <c r="L123" s="599"/>
      <c r="M123" s="599"/>
      <c r="N123" s="599"/>
      <c r="O123" s="599"/>
      <c r="P123" s="599"/>
      <c r="Q123" s="599"/>
      <c r="R123" s="599"/>
      <c r="S123" s="599"/>
      <c r="T123" s="599"/>
      <c r="U123" s="599"/>
      <c r="V123" s="599"/>
      <c r="W123" s="599"/>
      <c r="X123" s="599"/>
      <c r="Y123" s="599"/>
      <c r="Z123" s="599"/>
      <c r="AA123" s="599"/>
      <c r="AB123" s="599"/>
      <c r="AC123" s="599"/>
      <c r="AD123" s="599"/>
      <c r="AE123" s="599"/>
      <c r="AF123" s="599"/>
      <c r="AG123" s="599"/>
      <c r="AH123" s="599"/>
      <c r="AI123" s="599"/>
      <c r="AJ123" s="599"/>
      <c r="AK123" s="172"/>
      <c r="AL123" s="173" t="s">
        <v>5</v>
      </c>
      <c r="AM123" s="187" t="str">
        <f>IF(AL123="CO", "CO", IF(COUNTIF(AO:AO, A123)=0, 0, (8-SUMIF(AO:AO, A123, AL:AL)) / COUNTIF(AO:AO, A123)))</f>
        <v>CO</v>
      </c>
      <c r="AN123" s="175"/>
      <c r="AO123" s="176">
        <f t="shared" si="5"/>
        <v>46153</v>
      </c>
      <c r="AP123" s="177" t="str">
        <f t="shared" si="6"/>
        <v/>
      </c>
      <c r="AQ123" s="178"/>
      <c r="AR123" s="179"/>
      <c r="AS123" s="179"/>
      <c r="AT123" s="180"/>
      <c r="AU123" s="179"/>
      <c r="AV123" s="102"/>
      <c r="AW123" s="179"/>
      <c r="AX123" s="102"/>
      <c r="AY123" s="179"/>
      <c r="AZ123" s="179"/>
      <c r="BA123" s="181"/>
      <c r="BB123" s="182"/>
    </row>
    <row r="124" spans="1:54" s="7" customFormat="1" ht="27" customHeight="1" x14ac:dyDescent="0.35">
      <c r="A124" s="171">
        <v>46154</v>
      </c>
      <c r="B124" s="598" t="s">
        <v>88</v>
      </c>
      <c r="C124" s="598"/>
      <c r="D124" s="599"/>
      <c r="E124" s="599"/>
      <c r="F124" s="599"/>
      <c r="G124" s="599"/>
      <c r="H124" s="599"/>
      <c r="I124" s="599"/>
      <c r="J124" s="599"/>
      <c r="K124" s="599"/>
      <c r="L124" s="599"/>
      <c r="M124" s="599"/>
      <c r="N124" s="599"/>
      <c r="O124" s="599"/>
      <c r="P124" s="599"/>
      <c r="Q124" s="599"/>
      <c r="R124" s="599"/>
      <c r="S124" s="599"/>
      <c r="T124" s="599"/>
      <c r="U124" s="599"/>
      <c r="V124" s="599"/>
      <c r="W124" s="599"/>
      <c r="X124" s="599"/>
      <c r="Y124" s="599"/>
      <c r="Z124" s="599"/>
      <c r="AA124" s="599"/>
      <c r="AB124" s="599"/>
      <c r="AC124" s="599"/>
      <c r="AD124" s="599"/>
      <c r="AE124" s="599"/>
      <c r="AF124" s="599"/>
      <c r="AG124" s="599"/>
      <c r="AH124" s="599"/>
      <c r="AI124" s="599"/>
      <c r="AJ124" s="599"/>
      <c r="AK124" s="172"/>
      <c r="AL124" s="173"/>
      <c r="AM124" s="187">
        <f>IF(AL124="CO", "CO", IF(COUNTIF(AO:AO, A124)=0, 0, (8-SUMIF(AO:AO, A124, AL:AL)) / COUNTIF(AO:AO, A124)))</f>
        <v>8</v>
      </c>
      <c r="AN124" s="175"/>
      <c r="AO124" s="176">
        <f t="shared" si="5"/>
        <v>46154</v>
      </c>
      <c r="AP124" s="177" t="str">
        <f t="shared" si="6"/>
        <v/>
      </c>
      <c r="AQ124" s="178"/>
      <c r="AR124" s="179"/>
      <c r="AS124" s="179"/>
      <c r="AT124" s="180"/>
      <c r="AU124" s="179"/>
      <c r="AV124" s="102"/>
      <c r="AW124" s="179"/>
      <c r="AX124" s="102"/>
      <c r="AY124" s="179"/>
      <c r="AZ124" s="179"/>
      <c r="BA124" s="181"/>
      <c r="BB124" s="182"/>
    </row>
    <row r="125" spans="1:54" s="7" customFormat="1" ht="27" customHeight="1" x14ac:dyDescent="0.35">
      <c r="A125" s="171">
        <v>46155</v>
      </c>
      <c r="B125" s="598" t="s">
        <v>88</v>
      </c>
      <c r="C125" s="598"/>
      <c r="D125" s="599"/>
      <c r="E125" s="599"/>
      <c r="F125" s="599"/>
      <c r="G125" s="599"/>
      <c r="H125" s="599"/>
      <c r="I125" s="599"/>
      <c r="J125" s="599"/>
      <c r="K125" s="599"/>
      <c r="L125" s="599"/>
      <c r="M125" s="599"/>
      <c r="N125" s="599"/>
      <c r="O125" s="599"/>
      <c r="P125" s="599"/>
      <c r="Q125" s="599"/>
      <c r="R125" s="599"/>
      <c r="S125" s="599"/>
      <c r="T125" s="599"/>
      <c r="U125" s="599"/>
      <c r="V125" s="599"/>
      <c r="W125" s="599"/>
      <c r="X125" s="599"/>
      <c r="Y125" s="599"/>
      <c r="Z125" s="599"/>
      <c r="AA125" s="599"/>
      <c r="AB125" s="599"/>
      <c r="AC125" s="599"/>
      <c r="AD125" s="599"/>
      <c r="AE125" s="599"/>
      <c r="AF125" s="599"/>
      <c r="AG125" s="599"/>
      <c r="AH125" s="599"/>
      <c r="AI125" s="599"/>
      <c r="AJ125" s="599"/>
      <c r="AK125" s="172"/>
      <c r="AL125" s="173"/>
      <c r="AM125" s="187">
        <f>IF(AL125="CO", "CO", IF(COUNTIF(AO:AO, A125)=0, 0, (8-SUMIF(AO:AO, A125, AL:AL)) / COUNTIF(AO:AO, A125)))</f>
        <v>8</v>
      </c>
      <c r="AN125" s="175"/>
      <c r="AO125" s="176">
        <f t="shared" si="5"/>
        <v>46155</v>
      </c>
      <c r="AP125" s="177" t="str">
        <f t="shared" si="6"/>
        <v/>
      </c>
      <c r="AQ125" s="178"/>
      <c r="AR125" s="183"/>
      <c r="AS125" s="179"/>
      <c r="AT125" s="184"/>
      <c r="AU125" s="179"/>
      <c r="AV125" s="180"/>
      <c r="AW125" s="179"/>
      <c r="AX125" s="102"/>
      <c r="AY125" s="179"/>
      <c r="AZ125" s="179"/>
      <c r="BA125" s="181"/>
      <c r="BB125" s="182"/>
    </row>
    <row r="126" spans="1:54" s="7" customFormat="1" ht="27" customHeight="1" x14ac:dyDescent="0.35">
      <c r="A126" s="171">
        <v>46156</v>
      </c>
      <c r="B126" s="598" t="s">
        <v>88</v>
      </c>
      <c r="C126" s="598"/>
      <c r="D126" s="599"/>
      <c r="E126" s="599"/>
      <c r="F126" s="599"/>
      <c r="G126" s="599"/>
      <c r="H126" s="599"/>
      <c r="I126" s="599"/>
      <c r="J126" s="599"/>
      <c r="K126" s="599"/>
      <c r="L126" s="599"/>
      <c r="M126" s="599"/>
      <c r="N126" s="599"/>
      <c r="O126" s="599"/>
      <c r="P126" s="599"/>
      <c r="Q126" s="599"/>
      <c r="R126" s="599"/>
      <c r="S126" s="599"/>
      <c r="T126" s="599"/>
      <c r="U126" s="599"/>
      <c r="V126" s="599"/>
      <c r="W126" s="599"/>
      <c r="X126" s="599"/>
      <c r="Y126" s="599"/>
      <c r="Z126" s="599"/>
      <c r="AA126" s="599"/>
      <c r="AB126" s="599"/>
      <c r="AC126" s="599"/>
      <c r="AD126" s="599"/>
      <c r="AE126" s="599"/>
      <c r="AF126" s="599"/>
      <c r="AG126" s="599"/>
      <c r="AH126" s="599"/>
      <c r="AI126" s="599"/>
      <c r="AJ126" s="599"/>
      <c r="AK126" s="172"/>
      <c r="AL126" s="173"/>
      <c r="AM126" s="187">
        <f>IF(AL126="CO", "CO", IF(COUNTIF(AO:AO, A126)=0, 0, (8-SUMIF(AO:AO, A126, AL:AL)) / COUNTIF(AO:AO, A126)))</f>
        <v>8</v>
      </c>
      <c r="AN126" s="175"/>
      <c r="AO126" s="176">
        <f t="shared" si="5"/>
        <v>46156</v>
      </c>
      <c r="AP126" s="177" t="str">
        <f t="shared" si="6"/>
        <v/>
      </c>
      <c r="AQ126" s="178"/>
      <c r="AR126" s="183"/>
      <c r="AS126" s="179"/>
      <c r="AT126" s="180"/>
      <c r="AU126" s="179"/>
      <c r="AV126" s="180"/>
      <c r="AW126" s="179"/>
      <c r="AX126" s="102"/>
      <c r="AY126" s="179"/>
      <c r="AZ126" s="179"/>
      <c r="BA126" s="181"/>
      <c r="BB126" s="182"/>
    </row>
    <row r="127" spans="1:54" s="7" customFormat="1" ht="27" customHeight="1" x14ac:dyDescent="0.35">
      <c r="A127" s="171">
        <v>46157</v>
      </c>
      <c r="B127" s="598" t="s">
        <v>88</v>
      </c>
      <c r="C127" s="598"/>
      <c r="D127" s="599"/>
      <c r="E127" s="599"/>
      <c r="F127" s="599"/>
      <c r="G127" s="599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  <c r="U127" s="599"/>
      <c r="V127" s="599"/>
      <c r="W127" s="599"/>
      <c r="X127" s="599"/>
      <c r="Y127" s="599"/>
      <c r="Z127" s="599"/>
      <c r="AA127" s="599"/>
      <c r="AB127" s="599"/>
      <c r="AC127" s="599"/>
      <c r="AD127" s="599"/>
      <c r="AE127" s="599"/>
      <c r="AF127" s="599"/>
      <c r="AG127" s="599"/>
      <c r="AH127" s="599"/>
      <c r="AI127" s="599"/>
      <c r="AJ127" s="599"/>
      <c r="AK127" s="172"/>
      <c r="AL127" s="173"/>
      <c r="AM127" s="187">
        <f>IF(AL127="CO", "CO", IF(COUNTIF(AO:AO, A127)=0, 0, (8-SUMIF(AO:AO, A127, AL:AL)) / COUNTIF(AO:AO, A127)))</f>
        <v>8</v>
      </c>
      <c r="AN127" s="175"/>
      <c r="AO127" s="176">
        <f t="shared" si="5"/>
        <v>46157</v>
      </c>
      <c r="AP127" s="177" t="str">
        <f t="shared" si="6"/>
        <v/>
      </c>
      <c r="AQ127" s="178"/>
      <c r="AR127" s="179"/>
      <c r="AS127" s="179"/>
      <c r="AT127" s="180"/>
      <c r="AU127" s="179"/>
      <c r="AV127" s="188"/>
      <c r="AW127" s="179"/>
      <c r="AX127" s="102"/>
      <c r="AY127" s="179"/>
      <c r="AZ127" s="179"/>
      <c r="BA127" s="181"/>
      <c r="BB127" s="182"/>
    </row>
    <row r="128" spans="1:54" s="7" customFormat="1" ht="13.9" customHeight="1" x14ac:dyDescent="0.35">
      <c r="A128" s="76">
        <v>46158</v>
      </c>
      <c r="B128" s="596"/>
      <c r="C128" s="596"/>
      <c r="D128" s="597"/>
      <c r="E128" s="597"/>
      <c r="F128" s="597"/>
      <c r="G128" s="597"/>
      <c r="H128" s="597"/>
      <c r="I128" s="597"/>
      <c r="J128" s="597"/>
      <c r="K128" s="597"/>
      <c r="L128" s="597"/>
      <c r="M128" s="597"/>
      <c r="N128" s="597"/>
      <c r="O128" s="597"/>
      <c r="P128" s="597"/>
      <c r="Q128" s="597"/>
      <c r="R128" s="597"/>
      <c r="S128" s="597"/>
      <c r="T128" s="597"/>
      <c r="U128" s="597"/>
      <c r="V128" s="597"/>
      <c r="W128" s="597"/>
      <c r="X128" s="597"/>
      <c r="Y128" s="597"/>
      <c r="Z128" s="597"/>
      <c r="AA128" s="597"/>
      <c r="AB128" s="597"/>
      <c r="AC128" s="597"/>
      <c r="AD128" s="597"/>
      <c r="AE128" s="597"/>
      <c r="AF128" s="597"/>
      <c r="AG128" s="597"/>
      <c r="AH128" s="597"/>
      <c r="AI128" s="597"/>
      <c r="AJ128" s="597"/>
      <c r="AK128" s="134"/>
      <c r="AL128" s="135"/>
      <c r="AM128" s="72"/>
      <c r="AN128" s="110"/>
      <c r="AO128" s="136">
        <f t="shared" si="5"/>
        <v>46158</v>
      </c>
      <c r="AP128" s="137" t="str">
        <f t="shared" si="6"/>
        <v/>
      </c>
      <c r="AQ128" s="104"/>
      <c r="AR128" s="138"/>
      <c r="AS128" s="105"/>
      <c r="AT128" s="108"/>
      <c r="AU128" s="105"/>
      <c r="AV128" s="108"/>
      <c r="AW128" s="105"/>
      <c r="AX128" s="107"/>
      <c r="AY128" s="105"/>
      <c r="AZ128" s="105"/>
      <c r="BA128" s="113"/>
      <c r="BB128" s="140"/>
    </row>
    <row r="129" spans="1:54" s="7" customFormat="1" ht="13.9" customHeight="1" x14ac:dyDescent="0.35">
      <c r="A129" s="76">
        <v>46159</v>
      </c>
      <c r="B129" s="596"/>
      <c r="C129" s="596"/>
      <c r="D129" s="597"/>
      <c r="E129" s="597"/>
      <c r="F129" s="597"/>
      <c r="G129" s="597"/>
      <c r="H129" s="597"/>
      <c r="I129" s="597"/>
      <c r="J129" s="597"/>
      <c r="K129" s="597"/>
      <c r="L129" s="597"/>
      <c r="M129" s="597"/>
      <c r="N129" s="597"/>
      <c r="O129" s="597"/>
      <c r="P129" s="597"/>
      <c r="Q129" s="597"/>
      <c r="R129" s="597"/>
      <c r="S129" s="597"/>
      <c r="T129" s="597"/>
      <c r="U129" s="597"/>
      <c r="V129" s="597"/>
      <c r="W129" s="597"/>
      <c r="X129" s="597"/>
      <c r="Y129" s="597"/>
      <c r="Z129" s="597"/>
      <c r="AA129" s="597"/>
      <c r="AB129" s="597"/>
      <c r="AC129" s="597"/>
      <c r="AD129" s="597"/>
      <c r="AE129" s="597"/>
      <c r="AF129" s="597"/>
      <c r="AG129" s="597"/>
      <c r="AH129" s="597"/>
      <c r="AI129" s="597"/>
      <c r="AJ129" s="597"/>
      <c r="AK129" s="134"/>
      <c r="AL129" s="135"/>
      <c r="AM129" s="72"/>
      <c r="AN129" s="110"/>
      <c r="AO129" s="136">
        <f t="shared" si="5"/>
        <v>46159</v>
      </c>
      <c r="AP129" s="137" t="str">
        <f t="shared" si="6"/>
        <v/>
      </c>
      <c r="AQ129" s="104"/>
      <c r="AR129" s="105"/>
      <c r="AS129" s="105"/>
      <c r="AT129" s="106"/>
      <c r="AU129" s="105"/>
      <c r="AV129" s="139"/>
      <c r="AW129" s="105"/>
      <c r="AX129" s="107"/>
      <c r="AY129" s="105"/>
      <c r="AZ129" s="105"/>
      <c r="BA129" s="113"/>
      <c r="BB129" s="140"/>
    </row>
    <row r="130" spans="1:54" s="7" customFormat="1" ht="27" customHeight="1" x14ac:dyDescent="0.35">
      <c r="A130" s="171">
        <v>46160</v>
      </c>
      <c r="B130" s="598" t="s">
        <v>88</v>
      </c>
      <c r="C130" s="598"/>
      <c r="D130" s="599"/>
      <c r="E130" s="599"/>
      <c r="F130" s="599"/>
      <c r="G130" s="599"/>
      <c r="H130" s="599"/>
      <c r="I130" s="599"/>
      <c r="J130" s="599"/>
      <c r="K130" s="599"/>
      <c r="L130" s="599"/>
      <c r="M130" s="599"/>
      <c r="N130" s="599"/>
      <c r="O130" s="599"/>
      <c r="P130" s="599"/>
      <c r="Q130" s="599"/>
      <c r="R130" s="599"/>
      <c r="S130" s="599"/>
      <c r="T130" s="599"/>
      <c r="U130" s="599"/>
      <c r="V130" s="599"/>
      <c r="W130" s="599"/>
      <c r="X130" s="599"/>
      <c r="Y130" s="599"/>
      <c r="Z130" s="599"/>
      <c r="AA130" s="599"/>
      <c r="AB130" s="599"/>
      <c r="AC130" s="599"/>
      <c r="AD130" s="599"/>
      <c r="AE130" s="599"/>
      <c r="AF130" s="599"/>
      <c r="AG130" s="599"/>
      <c r="AH130" s="599"/>
      <c r="AI130" s="599"/>
      <c r="AJ130" s="599"/>
      <c r="AK130" s="172"/>
      <c r="AL130" s="173"/>
      <c r="AM130" s="174">
        <f>IF(AL130="CO", "CO", IF(COUNTIF(AO:AO, A130)=0, 0, (8-SUMIF(AO:AO, A130, AL:AL)) / COUNTIF(AO:AO, A130)))</f>
        <v>8</v>
      </c>
      <c r="AN130" s="189"/>
      <c r="AO130" s="176">
        <f t="shared" si="5"/>
        <v>46160</v>
      </c>
      <c r="AP130" s="177" t="str">
        <f t="shared" si="6"/>
        <v/>
      </c>
      <c r="AQ130" s="178"/>
      <c r="AR130" s="179"/>
      <c r="AS130" s="179"/>
      <c r="AT130" s="180"/>
      <c r="AU130" s="179"/>
      <c r="AV130" s="180"/>
      <c r="AW130" s="179"/>
      <c r="AX130" s="103"/>
      <c r="AY130" s="179"/>
      <c r="AZ130" s="179"/>
      <c r="BA130" s="181"/>
      <c r="BB130" s="182"/>
    </row>
    <row r="131" spans="1:54" s="7" customFormat="1" ht="27" customHeight="1" x14ac:dyDescent="0.35">
      <c r="A131" s="171">
        <v>46161</v>
      </c>
      <c r="B131" s="598" t="s">
        <v>88</v>
      </c>
      <c r="C131" s="598"/>
      <c r="D131" s="599"/>
      <c r="E131" s="599"/>
      <c r="F131" s="599"/>
      <c r="G131" s="599"/>
      <c r="H131" s="599"/>
      <c r="I131" s="599"/>
      <c r="J131" s="599"/>
      <c r="K131" s="599"/>
      <c r="L131" s="599"/>
      <c r="M131" s="599"/>
      <c r="N131" s="599"/>
      <c r="O131" s="599"/>
      <c r="P131" s="599"/>
      <c r="Q131" s="599"/>
      <c r="R131" s="599"/>
      <c r="S131" s="599"/>
      <c r="T131" s="599"/>
      <c r="U131" s="599"/>
      <c r="V131" s="599"/>
      <c r="W131" s="599"/>
      <c r="X131" s="599"/>
      <c r="Y131" s="599"/>
      <c r="Z131" s="599"/>
      <c r="AA131" s="599"/>
      <c r="AB131" s="599"/>
      <c r="AC131" s="599"/>
      <c r="AD131" s="599"/>
      <c r="AE131" s="599"/>
      <c r="AF131" s="599"/>
      <c r="AG131" s="599"/>
      <c r="AH131" s="599"/>
      <c r="AI131" s="599"/>
      <c r="AJ131" s="599"/>
      <c r="AK131" s="172"/>
      <c r="AL131" s="173"/>
      <c r="AM131" s="174">
        <f>IF(AL131="CO", "CO", IF(COUNTIF(AO:AO, A131)=0, 0, (8-SUMIF(AO:AO, A131, AL:AL)) / COUNTIF(AO:AO, A131)))</f>
        <v>8</v>
      </c>
      <c r="AN131" s="189"/>
      <c r="AO131" s="176">
        <f t="shared" si="5"/>
        <v>46161</v>
      </c>
      <c r="AP131" s="177" t="str">
        <f t="shared" si="6"/>
        <v/>
      </c>
      <c r="AQ131" s="178"/>
      <c r="AR131" s="179"/>
      <c r="AS131" s="179"/>
      <c r="AT131" s="180"/>
      <c r="AU131" s="179"/>
      <c r="AV131"/>
      <c r="AW131" s="179"/>
      <c r="AX131" s="102"/>
      <c r="AY131" s="179"/>
      <c r="AZ131" s="179"/>
      <c r="BA131" s="181"/>
      <c r="BB131" s="182"/>
    </row>
    <row r="132" spans="1:54" s="7" customFormat="1" ht="27" customHeight="1" x14ac:dyDescent="0.35">
      <c r="A132" s="171">
        <v>46162</v>
      </c>
      <c r="B132" s="598" t="s">
        <v>88</v>
      </c>
      <c r="C132" s="598"/>
      <c r="D132" s="599"/>
      <c r="E132" s="599"/>
      <c r="F132" s="599"/>
      <c r="G132" s="599"/>
      <c r="H132" s="599"/>
      <c r="I132" s="599"/>
      <c r="J132" s="599"/>
      <c r="K132" s="599"/>
      <c r="L132" s="599"/>
      <c r="M132" s="599"/>
      <c r="N132" s="599"/>
      <c r="O132" s="599"/>
      <c r="P132" s="599"/>
      <c r="Q132" s="599"/>
      <c r="R132" s="599"/>
      <c r="S132" s="599"/>
      <c r="T132" s="599"/>
      <c r="U132" s="599"/>
      <c r="V132" s="599"/>
      <c r="W132" s="599"/>
      <c r="X132" s="599"/>
      <c r="Y132" s="599"/>
      <c r="Z132" s="599"/>
      <c r="AA132" s="599"/>
      <c r="AB132" s="599"/>
      <c r="AC132" s="599"/>
      <c r="AD132" s="599"/>
      <c r="AE132" s="599"/>
      <c r="AF132" s="599"/>
      <c r="AG132" s="599"/>
      <c r="AH132" s="599"/>
      <c r="AI132" s="599"/>
      <c r="AJ132" s="599"/>
      <c r="AK132" s="172"/>
      <c r="AL132" s="173"/>
      <c r="AM132" s="174">
        <f>IF(AL132="CO", "CO", IF(COUNTIF(AO:AO, A132)=0, 0, (8-SUMIF(AO:AO, A132, AL:AL)) / COUNTIF(AO:AO, A132)))</f>
        <v>8</v>
      </c>
      <c r="AN132" s="189"/>
      <c r="AO132" s="176">
        <f t="shared" si="5"/>
        <v>46162</v>
      </c>
      <c r="AP132" s="177" t="str">
        <f t="shared" si="6"/>
        <v/>
      </c>
      <c r="AQ132" s="178"/>
      <c r="AR132" s="179"/>
      <c r="AS132" s="179"/>
      <c r="AT132" s="103"/>
      <c r="AU132" s="179"/>
      <c r="AV132" s="103"/>
      <c r="AW132" s="179"/>
      <c r="AX132" s="102"/>
      <c r="AY132" s="179"/>
      <c r="AZ132" s="179"/>
      <c r="BA132" s="181"/>
      <c r="BB132" s="182"/>
    </row>
    <row r="133" spans="1:54" s="7" customFormat="1" ht="27" customHeight="1" x14ac:dyDescent="0.35">
      <c r="A133" s="171">
        <v>46163</v>
      </c>
      <c r="B133" s="598" t="s">
        <v>88</v>
      </c>
      <c r="C133" s="598"/>
      <c r="D133" s="599"/>
      <c r="E133" s="599"/>
      <c r="F133" s="599"/>
      <c r="G133" s="599"/>
      <c r="H133" s="599"/>
      <c r="I133" s="599"/>
      <c r="J133" s="599"/>
      <c r="K133" s="599"/>
      <c r="L133" s="599"/>
      <c r="M133" s="599"/>
      <c r="N133" s="599"/>
      <c r="O133" s="599"/>
      <c r="P133" s="599"/>
      <c r="Q133" s="599"/>
      <c r="R133" s="599"/>
      <c r="S133" s="599"/>
      <c r="T133" s="599"/>
      <c r="U133" s="599"/>
      <c r="V133" s="599"/>
      <c r="W133" s="599"/>
      <c r="X133" s="599"/>
      <c r="Y133" s="599"/>
      <c r="Z133" s="599"/>
      <c r="AA133" s="599"/>
      <c r="AB133" s="599"/>
      <c r="AC133" s="599"/>
      <c r="AD133" s="599"/>
      <c r="AE133" s="599"/>
      <c r="AF133" s="599"/>
      <c r="AG133" s="599"/>
      <c r="AH133" s="599"/>
      <c r="AI133" s="599"/>
      <c r="AJ133" s="599"/>
      <c r="AK133" s="172"/>
      <c r="AL133" s="173"/>
      <c r="AM133" s="174">
        <f>IF(AL133="CO", "CO", IF(COUNTIF(AO:AO, A133)=0, 0, (8-SUMIF(AO:AO, A133, AL:AL)) / COUNTIF(AO:AO, A133)))</f>
        <v>8</v>
      </c>
      <c r="AN133" s="189"/>
      <c r="AO133" s="176">
        <f t="shared" si="5"/>
        <v>46163</v>
      </c>
      <c r="AP133" s="177" t="str">
        <f t="shared" si="6"/>
        <v/>
      </c>
      <c r="AQ133" s="178"/>
      <c r="AR133" s="179"/>
      <c r="AS133" s="179"/>
      <c r="AT133" s="180"/>
      <c r="AU133" s="179"/>
      <c r="AV133" s="184"/>
      <c r="AW133" s="179"/>
      <c r="AX133" s="102"/>
      <c r="AY133" s="179"/>
      <c r="AZ133" s="71"/>
      <c r="BA133" s="181"/>
      <c r="BB133" s="182"/>
    </row>
    <row r="134" spans="1:54" s="7" customFormat="1" ht="27" customHeight="1" x14ac:dyDescent="0.35">
      <c r="A134" s="171">
        <v>46164</v>
      </c>
      <c r="B134" s="598" t="s">
        <v>88</v>
      </c>
      <c r="C134" s="598"/>
      <c r="D134" s="599"/>
      <c r="E134" s="599"/>
      <c r="F134" s="599"/>
      <c r="G134" s="599"/>
      <c r="H134" s="599"/>
      <c r="I134" s="599"/>
      <c r="J134" s="599"/>
      <c r="K134" s="599"/>
      <c r="L134" s="599"/>
      <c r="M134" s="599"/>
      <c r="N134" s="599"/>
      <c r="O134" s="599"/>
      <c r="P134" s="599"/>
      <c r="Q134" s="599"/>
      <c r="R134" s="599"/>
      <c r="S134" s="599"/>
      <c r="T134" s="599"/>
      <c r="U134" s="599"/>
      <c r="V134" s="599"/>
      <c r="W134" s="599"/>
      <c r="X134" s="599"/>
      <c r="Y134" s="599"/>
      <c r="Z134" s="599"/>
      <c r="AA134" s="599"/>
      <c r="AB134" s="599"/>
      <c r="AC134" s="599"/>
      <c r="AD134" s="599"/>
      <c r="AE134" s="599"/>
      <c r="AF134" s="599"/>
      <c r="AG134" s="599"/>
      <c r="AH134" s="599"/>
      <c r="AI134" s="599"/>
      <c r="AJ134" s="599"/>
      <c r="AK134" s="172"/>
      <c r="AL134" s="173"/>
      <c r="AM134" s="174">
        <f>IF(AL134="CO", "CO", IF(COUNTIF(AO:AO, A134)=0, 0, (8-SUMIF(AO:AO, A134, AL:AL)) / COUNTIF(AO:AO, A134)))</f>
        <v>8</v>
      </c>
      <c r="AN134" s="189"/>
      <c r="AO134" s="176">
        <f t="shared" si="5"/>
        <v>46164</v>
      </c>
      <c r="AP134" s="177" t="str">
        <f t="shared" si="6"/>
        <v/>
      </c>
      <c r="AQ134" s="178"/>
      <c r="AR134" s="179"/>
      <c r="AS134" s="179"/>
      <c r="AT134" s="180"/>
      <c r="AU134" s="179"/>
      <c r="AV134" s="184"/>
      <c r="AW134" s="179"/>
      <c r="AX134" s="102"/>
      <c r="AY134" s="179"/>
      <c r="AZ134" s="71"/>
      <c r="BA134" s="181"/>
      <c r="BB134" s="182"/>
    </row>
    <row r="135" spans="1:54" s="7" customFormat="1" ht="13.9" customHeight="1" x14ac:dyDescent="0.35">
      <c r="A135" s="76">
        <v>46165</v>
      </c>
      <c r="B135" s="596"/>
      <c r="C135" s="596"/>
      <c r="D135" s="597"/>
      <c r="E135" s="597"/>
      <c r="F135" s="597"/>
      <c r="G135" s="597"/>
      <c r="H135" s="597"/>
      <c r="I135" s="597"/>
      <c r="J135" s="597"/>
      <c r="K135" s="597"/>
      <c r="L135" s="597"/>
      <c r="M135" s="597"/>
      <c r="N135" s="597"/>
      <c r="O135" s="597"/>
      <c r="P135" s="597"/>
      <c r="Q135" s="597"/>
      <c r="R135" s="597"/>
      <c r="S135" s="597"/>
      <c r="T135" s="597"/>
      <c r="U135" s="597"/>
      <c r="V135" s="597"/>
      <c r="W135" s="597"/>
      <c r="X135" s="597"/>
      <c r="Y135" s="597"/>
      <c r="Z135" s="597"/>
      <c r="AA135" s="597"/>
      <c r="AB135" s="597"/>
      <c r="AC135" s="597"/>
      <c r="AD135" s="597"/>
      <c r="AE135" s="597"/>
      <c r="AF135" s="597"/>
      <c r="AG135" s="597"/>
      <c r="AH135" s="597"/>
      <c r="AI135" s="597"/>
      <c r="AJ135" s="597"/>
      <c r="AK135" s="134"/>
      <c r="AL135" s="135"/>
      <c r="AM135" s="72"/>
      <c r="AN135" s="26"/>
      <c r="AO135" s="136">
        <f t="shared" si="5"/>
        <v>46165</v>
      </c>
      <c r="AP135" s="137" t="str">
        <f t="shared" si="6"/>
        <v/>
      </c>
      <c r="AQ135" s="104"/>
      <c r="AR135" s="138"/>
      <c r="AS135" s="105"/>
      <c r="AT135" s="108"/>
      <c r="AU135" s="105"/>
      <c r="AV135" s="307"/>
      <c r="AW135" s="105"/>
      <c r="AX135" s="107"/>
      <c r="AY135" s="105"/>
      <c r="AZ135" s="306"/>
      <c r="BA135" s="113"/>
      <c r="BB135" s="140"/>
    </row>
    <row r="136" spans="1:54" s="7" customFormat="1" ht="13.9" customHeight="1" x14ac:dyDescent="0.35">
      <c r="A136" s="76">
        <v>46166</v>
      </c>
      <c r="B136" s="596"/>
      <c r="C136" s="596"/>
      <c r="D136" s="597"/>
      <c r="E136" s="597"/>
      <c r="F136" s="597"/>
      <c r="G136" s="597"/>
      <c r="H136" s="597"/>
      <c r="I136" s="597"/>
      <c r="J136" s="597"/>
      <c r="K136" s="597"/>
      <c r="L136" s="597"/>
      <c r="M136" s="597"/>
      <c r="N136" s="597"/>
      <c r="O136" s="597"/>
      <c r="P136" s="597"/>
      <c r="Q136" s="597"/>
      <c r="R136" s="597"/>
      <c r="S136" s="597"/>
      <c r="T136" s="597"/>
      <c r="U136" s="597"/>
      <c r="V136" s="597"/>
      <c r="W136" s="597"/>
      <c r="X136" s="597"/>
      <c r="Y136" s="597"/>
      <c r="Z136" s="597"/>
      <c r="AA136" s="597"/>
      <c r="AB136" s="597"/>
      <c r="AC136" s="597"/>
      <c r="AD136" s="597"/>
      <c r="AE136" s="597"/>
      <c r="AF136" s="597"/>
      <c r="AG136" s="597"/>
      <c r="AH136" s="597"/>
      <c r="AI136" s="597"/>
      <c r="AJ136" s="597"/>
      <c r="AK136" s="134"/>
      <c r="AL136" s="135"/>
      <c r="AM136" s="72"/>
      <c r="AN136" s="26"/>
      <c r="AO136" s="136">
        <f t="shared" si="5"/>
        <v>46166</v>
      </c>
      <c r="AP136" s="137" t="str">
        <f t="shared" si="6"/>
        <v/>
      </c>
      <c r="AQ136" s="104"/>
      <c r="AR136" s="138"/>
      <c r="AS136" s="105"/>
      <c r="AT136" s="108"/>
      <c r="AU136" s="105"/>
      <c r="AV136" s="307"/>
      <c r="AW136" s="105"/>
      <c r="AX136" s="107"/>
      <c r="AY136" s="105"/>
      <c r="AZ136" s="306"/>
      <c r="BA136" s="113"/>
      <c r="BB136" s="140"/>
    </row>
    <row r="137" spans="1:54" s="7" customFormat="1" ht="27" customHeight="1" x14ac:dyDescent="0.35">
      <c r="A137" s="171">
        <v>46167</v>
      </c>
      <c r="B137" s="598" t="s">
        <v>88</v>
      </c>
      <c r="C137" s="598"/>
      <c r="D137" s="599"/>
      <c r="E137" s="599"/>
      <c r="F137" s="599"/>
      <c r="G137" s="599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  <c r="U137" s="599"/>
      <c r="V137" s="599"/>
      <c r="W137" s="599"/>
      <c r="X137" s="599"/>
      <c r="Y137" s="599"/>
      <c r="Z137" s="599"/>
      <c r="AA137" s="599"/>
      <c r="AB137" s="599"/>
      <c r="AC137" s="599"/>
      <c r="AD137" s="599"/>
      <c r="AE137" s="599"/>
      <c r="AF137" s="599"/>
      <c r="AG137" s="599"/>
      <c r="AH137" s="599"/>
      <c r="AI137" s="599"/>
      <c r="AJ137" s="599"/>
      <c r="AK137" s="172"/>
      <c r="AL137" s="173"/>
      <c r="AM137" s="187">
        <f>IF(AL137="CO", "CO", IF(COUNTIF(AO:AO, A137)=0, 0, (8-SUMIF(AO:AO, A137, AL:AL)) / COUNTIF(AO:AO, A137)))</f>
        <v>8</v>
      </c>
      <c r="AN137" s="175"/>
      <c r="AO137" s="176">
        <f t="shared" si="5"/>
        <v>46167</v>
      </c>
      <c r="AP137" s="177" t="str">
        <f t="shared" si="6"/>
        <v/>
      </c>
      <c r="AQ137" s="178"/>
      <c r="AR137" s="179"/>
      <c r="AS137" s="179"/>
      <c r="AT137" s="180"/>
      <c r="AU137" s="179"/>
      <c r="AV137"/>
      <c r="AW137" s="179"/>
      <c r="AX137" s="102"/>
      <c r="AY137" s="179"/>
      <c r="AZ137" s="179"/>
      <c r="BA137" s="181"/>
      <c r="BB137" s="182"/>
    </row>
    <row r="138" spans="1:54" s="7" customFormat="1" ht="27" customHeight="1" x14ac:dyDescent="0.35">
      <c r="A138" s="171">
        <v>46168</v>
      </c>
      <c r="B138" s="598" t="s">
        <v>88</v>
      </c>
      <c r="C138" s="598"/>
      <c r="D138" s="599"/>
      <c r="E138" s="599"/>
      <c r="F138" s="599"/>
      <c r="G138" s="599"/>
      <c r="H138" s="599"/>
      <c r="I138" s="599"/>
      <c r="J138" s="599"/>
      <c r="K138" s="599"/>
      <c r="L138" s="599"/>
      <c r="M138" s="599"/>
      <c r="N138" s="599"/>
      <c r="O138" s="599"/>
      <c r="P138" s="599"/>
      <c r="Q138" s="599"/>
      <c r="R138" s="599"/>
      <c r="S138" s="599"/>
      <c r="T138" s="599"/>
      <c r="U138" s="599"/>
      <c r="V138" s="599"/>
      <c r="W138" s="599"/>
      <c r="X138" s="599"/>
      <c r="Y138" s="599"/>
      <c r="Z138" s="599"/>
      <c r="AA138" s="599"/>
      <c r="AB138" s="599"/>
      <c r="AC138" s="599"/>
      <c r="AD138" s="599"/>
      <c r="AE138" s="599"/>
      <c r="AF138" s="599"/>
      <c r="AG138" s="599"/>
      <c r="AH138" s="599"/>
      <c r="AI138" s="599"/>
      <c r="AJ138" s="599"/>
      <c r="AK138" s="172"/>
      <c r="AL138" s="173"/>
      <c r="AM138" s="187">
        <f>IF(AL138="CO", "CO", IF(COUNTIF(AO:AO, A138)=0, 0, (8-SUMIF(AO:AO, A138, AL:AL)) / COUNTIF(AO:AO, A138)))</f>
        <v>8</v>
      </c>
      <c r="AN138" s="175"/>
      <c r="AO138" s="176">
        <f t="shared" si="5"/>
        <v>46168</v>
      </c>
      <c r="AP138" s="177" t="str">
        <f t="shared" si="6"/>
        <v/>
      </c>
      <c r="AQ138" s="178"/>
      <c r="AR138" s="179"/>
      <c r="AS138" s="179"/>
      <c r="AT138" s="180"/>
      <c r="AU138" s="179"/>
      <c r="AV138" s="180"/>
      <c r="AW138" s="179"/>
      <c r="AX138" s="102"/>
      <c r="AY138" s="179"/>
      <c r="AZ138" s="179"/>
      <c r="BA138" s="181"/>
      <c r="BB138" s="182"/>
    </row>
    <row r="139" spans="1:54" s="7" customFormat="1" ht="27" customHeight="1" x14ac:dyDescent="0.35">
      <c r="A139" s="171">
        <v>46169</v>
      </c>
      <c r="B139" s="598" t="s">
        <v>88</v>
      </c>
      <c r="C139" s="598"/>
      <c r="D139" s="599"/>
      <c r="E139" s="599"/>
      <c r="F139" s="599"/>
      <c r="G139" s="599"/>
      <c r="H139" s="599"/>
      <c r="I139" s="599"/>
      <c r="J139" s="599"/>
      <c r="K139" s="599"/>
      <c r="L139" s="599"/>
      <c r="M139" s="599"/>
      <c r="N139" s="599"/>
      <c r="O139" s="599"/>
      <c r="P139" s="599"/>
      <c r="Q139" s="599"/>
      <c r="R139" s="599"/>
      <c r="S139" s="599"/>
      <c r="T139" s="599"/>
      <c r="U139" s="599"/>
      <c r="V139" s="599"/>
      <c r="W139" s="599"/>
      <c r="X139" s="599"/>
      <c r="Y139" s="599"/>
      <c r="Z139" s="599"/>
      <c r="AA139" s="599"/>
      <c r="AB139" s="599"/>
      <c r="AC139" s="599"/>
      <c r="AD139" s="599"/>
      <c r="AE139" s="599"/>
      <c r="AF139" s="599"/>
      <c r="AG139" s="599"/>
      <c r="AH139" s="599"/>
      <c r="AI139" s="599"/>
      <c r="AJ139" s="599"/>
      <c r="AK139" s="172"/>
      <c r="AL139" s="173"/>
      <c r="AM139" s="187">
        <f>IF(AL139="CO", "CO", IF(COUNTIF(AO:AO, A139)=0, 0, (8-SUMIF(AO:AO, A139, AL:AL)) / COUNTIF(AO:AO, A139)))</f>
        <v>8</v>
      </c>
      <c r="AN139" s="432"/>
      <c r="AO139" s="176">
        <f t="shared" si="5"/>
        <v>46169</v>
      </c>
      <c r="AP139" s="177" t="str">
        <f t="shared" si="6"/>
        <v/>
      </c>
      <c r="AQ139" s="178"/>
      <c r="AR139" s="179"/>
      <c r="AS139" s="179"/>
      <c r="AT139" s="184"/>
      <c r="AU139" s="179"/>
      <c r="AV139" s="229"/>
      <c r="AW139" s="179"/>
      <c r="AX139" s="102"/>
      <c r="AY139" s="179"/>
      <c r="AZ139" s="179"/>
      <c r="BA139" s="181"/>
      <c r="BB139" s="182"/>
    </row>
    <row r="140" spans="1:54" s="7" customFormat="1" ht="27" customHeight="1" x14ac:dyDescent="0.35">
      <c r="A140" s="171">
        <v>46170</v>
      </c>
      <c r="B140" s="598" t="s">
        <v>88</v>
      </c>
      <c r="C140" s="598"/>
      <c r="D140" s="599"/>
      <c r="E140" s="599"/>
      <c r="F140" s="599"/>
      <c r="G140" s="599"/>
      <c r="H140" s="599"/>
      <c r="I140" s="599"/>
      <c r="J140" s="599"/>
      <c r="K140" s="599"/>
      <c r="L140" s="599"/>
      <c r="M140" s="599"/>
      <c r="N140" s="599"/>
      <c r="O140" s="599"/>
      <c r="P140" s="599"/>
      <c r="Q140" s="599"/>
      <c r="R140" s="599"/>
      <c r="S140" s="599"/>
      <c r="T140" s="599"/>
      <c r="U140" s="599"/>
      <c r="V140" s="599"/>
      <c r="W140" s="599"/>
      <c r="X140" s="599"/>
      <c r="Y140" s="599"/>
      <c r="Z140" s="599"/>
      <c r="AA140" s="599"/>
      <c r="AB140" s="599"/>
      <c r="AC140" s="599"/>
      <c r="AD140" s="599"/>
      <c r="AE140" s="599"/>
      <c r="AF140" s="599"/>
      <c r="AG140" s="599"/>
      <c r="AH140" s="599"/>
      <c r="AI140" s="599"/>
      <c r="AJ140" s="599"/>
      <c r="AK140" s="172"/>
      <c r="AL140" s="173"/>
      <c r="AM140" s="187">
        <f>IF(AL140="CO", "CO", IF(COUNTIF(AO:AO, A140)=0, 0, (8-SUMIF(AO:AO, A140, AL:AL)) / COUNTIF(AO:AO, A140)))</f>
        <v>8</v>
      </c>
      <c r="AN140" s="175"/>
      <c r="AO140" s="176">
        <f t="shared" si="5"/>
        <v>46170</v>
      </c>
      <c r="AP140" s="177" t="str">
        <f t="shared" si="6"/>
        <v/>
      </c>
      <c r="AQ140" s="178"/>
      <c r="AR140" s="179"/>
      <c r="AS140" s="179"/>
      <c r="AT140" s="103"/>
      <c r="AU140" s="179"/>
      <c r="AV140" s="103"/>
      <c r="AW140" s="179"/>
      <c r="AX140" s="102"/>
      <c r="AY140" s="179"/>
      <c r="AZ140" s="179"/>
      <c r="BA140" s="181"/>
      <c r="BB140" s="182"/>
    </row>
    <row r="141" spans="1:54" s="7" customFormat="1" ht="27" customHeight="1" x14ac:dyDescent="0.35">
      <c r="A141" s="171">
        <v>46171</v>
      </c>
      <c r="B141" s="598" t="s">
        <v>88</v>
      </c>
      <c r="C141" s="598"/>
      <c r="D141" s="599"/>
      <c r="E141" s="599"/>
      <c r="F141" s="599"/>
      <c r="G141" s="599"/>
      <c r="H141" s="599"/>
      <c r="I141" s="599"/>
      <c r="J141" s="599"/>
      <c r="K141" s="599"/>
      <c r="L141" s="599"/>
      <c r="M141" s="599"/>
      <c r="N141" s="599"/>
      <c r="O141" s="599"/>
      <c r="P141" s="599"/>
      <c r="Q141" s="599"/>
      <c r="R141" s="599"/>
      <c r="S141" s="599"/>
      <c r="T141" s="599"/>
      <c r="U141" s="599"/>
      <c r="V141" s="599"/>
      <c r="W141" s="599"/>
      <c r="X141" s="599"/>
      <c r="Y141" s="599"/>
      <c r="Z141" s="599"/>
      <c r="AA141" s="599"/>
      <c r="AB141" s="599"/>
      <c r="AC141" s="599"/>
      <c r="AD141" s="599"/>
      <c r="AE141" s="599"/>
      <c r="AF141" s="599"/>
      <c r="AG141" s="599"/>
      <c r="AH141" s="599"/>
      <c r="AI141" s="599"/>
      <c r="AJ141" s="599"/>
      <c r="AK141" s="172"/>
      <c r="AL141" s="173"/>
      <c r="AM141" s="174">
        <f>IF(AL141="CO", "CO", IF(COUNTIF(AO:AO, A141)=0, 0, (8-SUMIF(AO:AO, A141, AL:AL)) / COUNTIF(AO:AO, A141)))</f>
        <v>8</v>
      </c>
      <c r="AN141" s="189"/>
      <c r="AO141" s="176">
        <f t="shared" si="5"/>
        <v>46171</v>
      </c>
      <c r="AP141" s="177" t="str">
        <f t="shared" si="6"/>
        <v/>
      </c>
      <c r="AQ141" s="178"/>
      <c r="AR141" s="179"/>
      <c r="AS141" s="179"/>
      <c r="AT141" s="180"/>
      <c r="AU141" s="179"/>
      <c r="AV141" s="184"/>
      <c r="AW141" s="179"/>
      <c r="AX141" s="102"/>
      <c r="AY141" s="179"/>
      <c r="AZ141" s="71"/>
      <c r="BA141" s="181"/>
      <c r="BB141" s="182"/>
    </row>
    <row r="142" spans="1:54" s="7" customFormat="1" ht="13.9" customHeight="1" x14ac:dyDescent="0.35">
      <c r="A142" s="76">
        <v>46172</v>
      </c>
      <c r="B142" s="596"/>
      <c r="C142" s="596"/>
      <c r="D142" s="597"/>
      <c r="E142" s="597"/>
      <c r="F142" s="597"/>
      <c r="G142" s="597"/>
      <c r="H142" s="597"/>
      <c r="I142" s="597"/>
      <c r="J142" s="597"/>
      <c r="K142" s="597"/>
      <c r="L142" s="597"/>
      <c r="M142" s="597"/>
      <c r="N142" s="597"/>
      <c r="O142" s="597"/>
      <c r="P142" s="597"/>
      <c r="Q142" s="597"/>
      <c r="R142" s="597"/>
      <c r="S142" s="597"/>
      <c r="T142" s="597"/>
      <c r="U142" s="597"/>
      <c r="V142" s="597"/>
      <c r="W142" s="597"/>
      <c r="X142" s="597"/>
      <c r="Y142" s="597"/>
      <c r="Z142" s="597"/>
      <c r="AA142" s="597"/>
      <c r="AB142" s="597"/>
      <c r="AC142" s="597"/>
      <c r="AD142" s="597"/>
      <c r="AE142" s="597"/>
      <c r="AF142" s="597"/>
      <c r="AG142" s="597"/>
      <c r="AH142" s="597"/>
      <c r="AI142" s="597"/>
      <c r="AJ142" s="597"/>
      <c r="AK142" s="134"/>
      <c r="AL142" s="135"/>
      <c r="AM142" s="72"/>
      <c r="AN142" s="26"/>
      <c r="AO142" s="136">
        <f t="shared" si="5"/>
        <v>46172</v>
      </c>
      <c r="AP142" s="137" t="str">
        <f t="shared" si="6"/>
        <v/>
      </c>
      <c r="AQ142" s="104"/>
      <c r="AR142" s="138"/>
      <c r="AS142" s="105"/>
      <c r="AT142" s="108"/>
      <c r="AU142" s="105"/>
      <c r="AV142" s="307"/>
      <c r="AW142" s="105"/>
      <c r="AX142" s="107"/>
      <c r="AY142" s="105"/>
      <c r="AZ142" s="306"/>
      <c r="BA142" s="113"/>
      <c r="BB142" s="140"/>
    </row>
    <row r="143" spans="1:54" s="7" customFormat="1" ht="13.9" customHeight="1" thickBot="1" x14ac:dyDescent="0.4">
      <c r="A143" s="200">
        <v>46173</v>
      </c>
      <c r="B143" s="624"/>
      <c r="C143" s="624"/>
      <c r="D143" s="625"/>
      <c r="E143" s="625"/>
      <c r="F143" s="625"/>
      <c r="G143" s="625"/>
      <c r="H143" s="625"/>
      <c r="I143" s="625"/>
      <c r="J143" s="625"/>
      <c r="K143" s="625"/>
      <c r="L143" s="625"/>
      <c r="M143" s="625"/>
      <c r="N143" s="625"/>
      <c r="O143" s="625"/>
      <c r="P143" s="625"/>
      <c r="Q143" s="625"/>
      <c r="R143" s="625"/>
      <c r="S143" s="625"/>
      <c r="T143" s="625"/>
      <c r="U143" s="625"/>
      <c r="V143" s="625"/>
      <c r="W143" s="625"/>
      <c r="X143" s="625"/>
      <c r="Y143" s="625"/>
      <c r="Z143" s="625"/>
      <c r="AA143" s="625"/>
      <c r="AB143" s="625"/>
      <c r="AC143" s="625"/>
      <c r="AD143" s="625"/>
      <c r="AE143" s="625"/>
      <c r="AF143" s="625"/>
      <c r="AG143" s="625"/>
      <c r="AH143" s="625"/>
      <c r="AI143" s="625"/>
      <c r="AJ143" s="625"/>
      <c r="AK143" s="201"/>
      <c r="AL143" s="202"/>
      <c r="AM143" s="433"/>
      <c r="AN143" s="434"/>
      <c r="AO143" s="205">
        <f t="shared" si="5"/>
        <v>46173</v>
      </c>
      <c r="AP143" s="206" t="str">
        <f t="shared" si="6"/>
        <v/>
      </c>
      <c r="AQ143" s="207"/>
      <c r="AR143" s="208"/>
      <c r="AS143" s="208"/>
      <c r="AT143" s="209"/>
      <c r="AU143" s="208"/>
      <c r="AV143" s="435"/>
      <c r="AW143" s="208"/>
      <c r="AX143" s="436"/>
      <c r="AY143" s="208"/>
      <c r="AZ143" s="208"/>
      <c r="BA143" s="210"/>
      <c r="BB143" s="211"/>
    </row>
    <row r="144" spans="1:54" s="7" customFormat="1" ht="15" customHeight="1" thickBot="1" x14ac:dyDescent="0.4">
      <c r="A144" s="626" t="s">
        <v>110</v>
      </c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S144" s="627"/>
      <c r="T144" s="627"/>
      <c r="U144" s="627"/>
      <c r="V144" s="627"/>
      <c r="W144" s="627"/>
      <c r="X144" s="627"/>
      <c r="Y144" s="627"/>
      <c r="Z144" s="627"/>
      <c r="AA144" s="627"/>
      <c r="AB144" s="627"/>
      <c r="AC144" s="627"/>
      <c r="AD144" s="627"/>
      <c r="AE144" s="627"/>
      <c r="AF144" s="627"/>
      <c r="AG144" s="627"/>
      <c r="AH144" s="627"/>
      <c r="AI144" s="627"/>
      <c r="AJ144" s="628"/>
      <c r="AK144" s="31"/>
      <c r="AL144" s="118">
        <f>SUM(AL113:AL143)+COUNTIF(AL113:AL143,"CO")*6</f>
        <v>10</v>
      </c>
      <c r="AM144" s="101">
        <f>SUM(AM113:AM143)+COUNTIF(AM113:AM143,"CO")*2</f>
        <v>150</v>
      </c>
      <c r="AO144" s="8"/>
      <c r="AP144" s="8"/>
      <c r="AV144" s="70"/>
    </row>
    <row r="145" spans="1:48" s="7" customFormat="1" x14ac:dyDescent="0.35">
      <c r="A145" s="629" t="s">
        <v>111</v>
      </c>
      <c r="B145" s="630"/>
      <c r="C145" s="630"/>
      <c r="D145" s="630"/>
      <c r="E145" s="630"/>
      <c r="F145" s="630"/>
      <c r="G145" s="630"/>
      <c r="H145" s="630"/>
      <c r="I145" s="630"/>
      <c r="J145" s="630"/>
      <c r="K145" s="630"/>
      <c r="L145" s="630"/>
      <c r="M145" s="630"/>
      <c r="N145" s="630"/>
      <c r="O145" s="630"/>
      <c r="P145" s="630"/>
      <c r="Q145" s="630"/>
      <c r="R145" s="630"/>
      <c r="S145" s="630"/>
      <c r="T145" s="630"/>
      <c r="U145" s="630"/>
      <c r="V145" s="630"/>
      <c r="W145" s="630"/>
      <c r="X145" s="630"/>
      <c r="Y145" s="630"/>
      <c r="Z145" s="630"/>
      <c r="AA145" s="630"/>
      <c r="AB145" s="630"/>
      <c r="AC145" s="630"/>
      <c r="AD145" s="630"/>
      <c r="AE145" s="630"/>
      <c r="AF145" s="630"/>
      <c r="AG145" s="630"/>
      <c r="AH145" s="630"/>
      <c r="AI145" s="630"/>
      <c r="AJ145" s="630"/>
      <c r="AK145" s="630"/>
      <c r="AL145" s="630"/>
      <c r="AM145" s="631"/>
      <c r="AO145" s="8"/>
      <c r="AP145" s="8"/>
      <c r="AV145" s="70"/>
    </row>
    <row r="146" spans="1:48" s="7" customFormat="1" ht="15" customHeight="1" thickBot="1" x14ac:dyDescent="0.4">
      <c r="A146" s="632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33"/>
      <c r="AB146" s="633"/>
      <c r="AC146" s="633"/>
      <c r="AD146" s="633"/>
      <c r="AE146" s="633"/>
      <c r="AF146" s="633"/>
      <c r="AG146" s="633"/>
      <c r="AH146" s="633"/>
      <c r="AI146" s="633"/>
      <c r="AJ146" s="633"/>
      <c r="AK146" s="633"/>
      <c r="AL146" s="633"/>
      <c r="AM146" s="634"/>
      <c r="AO146" s="8"/>
      <c r="AP146" s="8"/>
      <c r="AV146" s="70"/>
    </row>
    <row r="147" spans="1:48" s="7" customFormat="1" ht="27" customHeight="1" x14ac:dyDescent="0.35">
      <c r="A147" s="610" t="s">
        <v>112</v>
      </c>
      <c r="B147" s="611"/>
      <c r="C147" s="612"/>
      <c r="D147" s="613" t="s">
        <v>58</v>
      </c>
      <c r="E147" s="614"/>
      <c r="F147" s="614"/>
      <c r="G147" s="614"/>
      <c r="H147" s="614"/>
      <c r="I147" s="614"/>
      <c r="J147" s="614"/>
      <c r="K147" s="614"/>
      <c r="L147" s="614"/>
      <c r="M147" s="614"/>
      <c r="N147" s="614"/>
      <c r="O147" s="614"/>
      <c r="P147" s="614"/>
      <c r="Q147" s="614"/>
      <c r="R147" s="614"/>
      <c r="S147" s="614"/>
      <c r="T147" s="614"/>
      <c r="U147" s="614"/>
      <c r="V147" s="614"/>
      <c r="W147" s="614"/>
      <c r="X147" s="614"/>
      <c r="Y147" s="614"/>
      <c r="Z147" s="614"/>
      <c r="AA147" s="614"/>
      <c r="AB147" s="614"/>
      <c r="AC147" s="614"/>
      <c r="AD147" s="614"/>
      <c r="AE147" s="614"/>
      <c r="AF147" s="614"/>
      <c r="AG147" s="614"/>
      <c r="AH147" s="614"/>
      <c r="AI147" s="614"/>
      <c r="AJ147" s="614"/>
      <c r="AK147" s="614"/>
      <c r="AL147" s="614"/>
      <c r="AM147" s="615"/>
      <c r="AO147" s="8"/>
      <c r="AP147" s="8"/>
      <c r="AV147" s="70"/>
    </row>
    <row r="148" spans="1:48" s="7" customFormat="1" ht="27" customHeight="1" x14ac:dyDescent="0.35">
      <c r="A148" s="616" t="s">
        <v>113</v>
      </c>
      <c r="B148" s="617"/>
      <c r="C148" s="618"/>
      <c r="D148" s="619"/>
      <c r="E148" s="620"/>
      <c r="F148" s="620"/>
      <c r="G148" s="620"/>
      <c r="H148" s="620"/>
      <c r="I148" s="620"/>
      <c r="J148" s="620"/>
      <c r="K148" s="620"/>
      <c r="L148" s="620"/>
      <c r="M148" s="620"/>
      <c r="N148" s="620"/>
      <c r="O148" s="620"/>
      <c r="P148" s="620"/>
      <c r="Q148" s="620"/>
      <c r="R148" s="620"/>
      <c r="S148" s="620"/>
      <c r="T148" s="620"/>
      <c r="U148" s="620"/>
      <c r="V148" s="620"/>
      <c r="W148" s="620"/>
      <c r="X148" s="620"/>
      <c r="Y148" s="620"/>
      <c r="Z148" s="620"/>
      <c r="AA148" s="620"/>
      <c r="AB148" s="620"/>
      <c r="AC148" s="620"/>
      <c r="AD148" s="620"/>
      <c r="AE148" s="620"/>
      <c r="AF148" s="620"/>
      <c r="AG148" s="620"/>
      <c r="AH148" s="620"/>
      <c r="AI148" s="620"/>
      <c r="AJ148" s="620"/>
      <c r="AK148" s="620"/>
      <c r="AL148" s="620"/>
      <c r="AM148" s="621"/>
      <c r="AO148" s="8"/>
      <c r="AP148" s="8"/>
      <c r="AV148" s="70"/>
    </row>
    <row r="149" spans="1:48" s="7" customFormat="1" ht="27" customHeight="1" x14ac:dyDescent="0.35">
      <c r="A149" s="616" t="s">
        <v>114</v>
      </c>
      <c r="B149" s="617"/>
      <c r="C149" s="618"/>
      <c r="D149" s="622">
        <v>46171</v>
      </c>
      <c r="E149" s="460">
        <v>46171</v>
      </c>
      <c r="F149" s="460">
        <v>46171</v>
      </c>
      <c r="G149" s="460">
        <v>46171</v>
      </c>
      <c r="H149" s="460">
        <v>46171</v>
      </c>
      <c r="I149" s="460">
        <v>46171</v>
      </c>
      <c r="J149" s="460">
        <v>46171</v>
      </c>
      <c r="K149" s="460">
        <v>46171</v>
      </c>
      <c r="L149" s="460">
        <v>46171</v>
      </c>
      <c r="M149" s="460">
        <v>46171</v>
      </c>
      <c r="N149" s="460">
        <v>46171</v>
      </c>
      <c r="O149" s="460">
        <v>46171</v>
      </c>
      <c r="P149" s="460">
        <v>46171</v>
      </c>
      <c r="Q149" s="460">
        <v>46171</v>
      </c>
      <c r="R149" s="460">
        <v>46171</v>
      </c>
      <c r="S149" s="460">
        <v>46171</v>
      </c>
      <c r="T149" s="460">
        <v>46171</v>
      </c>
      <c r="U149" s="460">
        <v>46171</v>
      </c>
      <c r="V149" s="460">
        <v>46171</v>
      </c>
      <c r="W149" s="460">
        <v>46171</v>
      </c>
      <c r="X149" s="460">
        <v>46171</v>
      </c>
      <c r="Y149" s="460">
        <v>46171</v>
      </c>
      <c r="Z149" s="460">
        <v>46171</v>
      </c>
      <c r="AA149" s="460">
        <v>46171</v>
      </c>
      <c r="AB149" s="460">
        <v>46171</v>
      </c>
      <c r="AC149" s="460">
        <v>46171</v>
      </c>
      <c r="AD149" s="460">
        <v>46171</v>
      </c>
      <c r="AE149" s="460">
        <v>46171</v>
      </c>
      <c r="AF149" s="460">
        <v>46171</v>
      </c>
      <c r="AG149" s="460">
        <v>46171</v>
      </c>
      <c r="AH149" s="460">
        <v>46171</v>
      </c>
      <c r="AI149" s="460">
        <v>46171</v>
      </c>
      <c r="AJ149" s="460">
        <v>46171</v>
      </c>
      <c r="AK149" s="460">
        <v>46171</v>
      </c>
      <c r="AL149" s="460">
        <v>46171</v>
      </c>
      <c r="AM149" s="623">
        <v>46171</v>
      </c>
      <c r="AO149" s="8"/>
      <c r="AP149" s="8"/>
      <c r="AV149" s="70"/>
    </row>
    <row r="150" spans="1:48" s="7" customFormat="1" x14ac:dyDescent="0.35">
      <c r="A150" s="616"/>
      <c r="B150" s="617"/>
      <c r="C150" s="618"/>
      <c r="D150" s="641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42"/>
      <c r="AB150" s="642"/>
      <c r="AC150" s="642"/>
      <c r="AD150" s="642"/>
      <c r="AE150" s="642"/>
      <c r="AF150" s="642"/>
      <c r="AG150" s="642"/>
      <c r="AH150" s="642"/>
      <c r="AI150" s="642"/>
      <c r="AJ150" s="642"/>
      <c r="AK150" s="642"/>
      <c r="AL150" s="642"/>
      <c r="AM150" s="643"/>
      <c r="AO150" s="8"/>
      <c r="AP150" s="8"/>
      <c r="AV150" s="70"/>
    </row>
    <row r="151" spans="1:48" s="7" customFormat="1" ht="27" customHeight="1" x14ac:dyDescent="0.35">
      <c r="A151" s="616" t="s">
        <v>115</v>
      </c>
      <c r="B151" s="617"/>
      <c r="C151" s="618"/>
      <c r="D151" s="644" t="s">
        <v>116</v>
      </c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5"/>
      <c r="P151" s="645"/>
      <c r="Q151" s="645"/>
      <c r="R151" s="645"/>
      <c r="S151" s="645"/>
      <c r="T151" s="645"/>
      <c r="U151" s="645"/>
      <c r="V151" s="645"/>
      <c r="W151" s="645"/>
      <c r="X151" s="645"/>
      <c r="Y151" s="645"/>
      <c r="Z151" s="645"/>
      <c r="AA151" s="645"/>
      <c r="AB151" s="645"/>
      <c r="AC151" s="645"/>
      <c r="AD151" s="645"/>
      <c r="AE151" s="645"/>
      <c r="AF151" s="645"/>
      <c r="AG151" s="645"/>
      <c r="AH151" s="645"/>
      <c r="AI151" s="645"/>
      <c r="AJ151" s="645"/>
      <c r="AK151" s="645"/>
      <c r="AL151" s="645"/>
      <c r="AM151" s="646"/>
      <c r="AO151" s="8"/>
      <c r="AP151" s="8"/>
      <c r="AV151" s="70"/>
    </row>
    <row r="152" spans="1:48" s="7" customFormat="1" ht="27" customHeight="1" x14ac:dyDescent="0.35">
      <c r="A152" s="616" t="s">
        <v>113</v>
      </c>
      <c r="B152" s="617"/>
      <c r="C152" s="618"/>
      <c r="D152" s="619"/>
      <c r="E152" s="620"/>
      <c r="F152" s="620"/>
      <c r="G152" s="620"/>
      <c r="H152" s="620"/>
      <c r="I152" s="620"/>
      <c r="J152" s="620"/>
      <c r="K152" s="620"/>
      <c r="L152" s="620"/>
      <c r="M152" s="620"/>
      <c r="N152" s="620"/>
      <c r="O152" s="620"/>
      <c r="P152" s="620"/>
      <c r="Q152" s="620"/>
      <c r="R152" s="620"/>
      <c r="S152" s="620"/>
      <c r="T152" s="620"/>
      <c r="U152" s="620"/>
      <c r="V152" s="620"/>
      <c r="W152" s="620"/>
      <c r="X152" s="620"/>
      <c r="Y152" s="620"/>
      <c r="Z152" s="620"/>
      <c r="AA152" s="620"/>
      <c r="AB152" s="620"/>
      <c r="AC152" s="620"/>
      <c r="AD152" s="620"/>
      <c r="AE152" s="620"/>
      <c r="AF152" s="620"/>
      <c r="AG152" s="620"/>
      <c r="AH152" s="620"/>
      <c r="AI152" s="620"/>
      <c r="AJ152" s="620"/>
      <c r="AK152" s="620"/>
      <c r="AL152" s="620"/>
      <c r="AM152" s="621"/>
      <c r="AO152" s="8"/>
      <c r="AP152" s="8"/>
      <c r="AV152" s="70"/>
    </row>
    <row r="153" spans="1:48" s="7" customFormat="1" ht="27" customHeight="1" thickBot="1" x14ac:dyDescent="0.4">
      <c r="A153" s="635" t="s">
        <v>117</v>
      </c>
      <c r="B153" s="636"/>
      <c r="C153" s="637"/>
      <c r="D153" s="638">
        <v>46171</v>
      </c>
      <c r="E153" s="639">
        <v>46171</v>
      </c>
      <c r="F153" s="639">
        <v>46171</v>
      </c>
      <c r="G153" s="639">
        <v>46171</v>
      </c>
      <c r="H153" s="639">
        <v>46171</v>
      </c>
      <c r="I153" s="639">
        <v>46171</v>
      </c>
      <c r="J153" s="639">
        <v>46171</v>
      </c>
      <c r="K153" s="639">
        <v>46171</v>
      </c>
      <c r="L153" s="639">
        <v>46171</v>
      </c>
      <c r="M153" s="639">
        <v>46171</v>
      </c>
      <c r="N153" s="639">
        <v>46171</v>
      </c>
      <c r="O153" s="639">
        <v>46171</v>
      </c>
      <c r="P153" s="639">
        <v>46171</v>
      </c>
      <c r="Q153" s="639">
        <v>46171</v>
      </c>
      <c r="R153" s="639">
        <v>46171</v>
      </c>
      <c r="S153" s="639">
        <v>46171</v>
      </c>
      <c r="T153" s="639">
        <v>46171</v>
      </c>
      <c r="U153" s="639">
        <v>46171</v>
      </c>
      <c r="V153" s="639">
        <v>46171</v>
      </c>
      <c r="W153" s="639">
        <v>46171</v>
      </c>
      <c r="X153" s="639">
        <v>46171</v>
      </c>
      <c r="Y153" s="639">
        <v>46171</v>
      </c>
      <c r="Z153" s="639">
        <v>46171</v>
      </c>
      <c r="AA153" s="639">
        <v>46171</v>
      </c>
      <c r="AB153" s="639">
        <v>46171</v>
      </c>
      <c r="AC153" s="639">
        <v>46171</v>
      </c>
      <c r="AD153" s="639">
        <v>46171</v>
      </c>
      <c r="AE153" s="639">
        <v>46171</v>
      </c>
      <c r="AF153" s="639">
        <v>46171</v>
      </c>
      <c r="AG153" s="639">
        <v>46171</v>
      </c>
      <c r="AH153" s="639">
        <v>46171</v>
      </c>
      <c r="AI153" s="639">
        <v>46171</v>
      </c>
      <c r="AJ153" s="639">
        <v>46171</v>
      </c>
      <c r="AK153" s="639">
        <v>46171</v>
      </c>
      <c r="AL153" s="639">
        <v>46171</v>
      </c>
      <c r="AM153" s="640">
        <v>46171</v>
      </c>
      <c r="AO153" s="8"/>
      <c r="AP153" s="8"/>
      <c r="AV153" s="70"/>
    </row>
    <row r="154" spans="1:48" s="7" customFormat="1" x14ac:dyDescent="0.35">
      <c r="A154" s="460"/>
      <c r="B154" s="460"/>
      <c r="C154" s="460"/>
      <c r="D154" s="68"/>
      <c r="AO154" s="8"/>
      <c r="AP154" s="8"/>
      <c r="AV154" s="70"/>
    </row>
    <row r="155" spans="1:48" s="7" customFormat="1" x14ac:dyDescent="0.35">
      <c r="A155" s="16"/>
      <c r="AO155" s="8"/>
      <c r="AP155" s="8"/>
      <c r="AV155" s="70"/>
    </row>
    <row r="156" spans="1:48" s="7" customFormat="1" x14ac:dyDescent="0.35">
      <c r="A156" s="16"/>
      <c r="AO156" s="8"/>
      <c r="AP156" s="8"/>
      <c r="AV156" s="70"/>
    </row>
    <row r="157" spans="1:48" s="7" customFormat="1" x14ac:dyDescent="0.35">
      <c r="A157" s="16"/>
      <c r="AO157" s="8"/>
      <c r="AP157" s="8"/>
      <c r="AV157" s="70"/>
    </row>
    <row r="158" spans="1:48" s="7" customFormat="1" x14ac:dyDescent="0.35">
      <c r="A158" s="16"/>
      <c r="AO158" s="8"/>
      <c r="AP158" s="8"/>
      <c r="AV158" s="70"/>
    </row>
    <row r="159" spans="1:48" s="7" customFormat="1" x14ac:dyDescent="0.35">
      <c r="A159" s="16"/>
      <c r="AO159" s="8"/>
      <c r="AP159" s="8"/>
      <c r="AV159" s="70"/>
    </row>
    <row r="160" spans="1:48" s="7" customFormat="1" x14ac:dyDescent="0.35">
      <c r="A160" s="16"/>
      <c r="AO160" s="8"/>
      <c r="AP160" s="8"/>
      <c r="AV160" s="70"/>
    </row>
    <row r="161" spans="1:48" s="7" customFormat="1" x14ac:dyDescent="0.35">
      <c r="A161" s="16"/>
      <c r="AO161" s="8"/>
      <c r="AP161" s="8"/>
      <c r="AV161" s="70"/>
    </row>
    <row r="162" spans="1:48" s="7" customFormat="1" x14ac:dyDescent="0.35">
      <c r="A162" s="16"/>
      <c r="AO162" s="8"/>
      <c r="AP162" s="8"/>
      <c r="AV162" s="70"/>
    </row>
    <row r="163" spans="1:48" s="7" customFormat="1" x14ac:dyDescent="0.35">
      <c r="A163" s="16"/>
      <c r="AO163" s="8"/>
      <c r="AP163" s="8"/>
      <c r="AV163" s="70"/>
    </row>
    <row r="164" spans="1:48" s="7" customFormat="1" x14ac:dyDescent="0.35">
      <c r="A164" s="16"/>
      <c r="AO164" s="8"/>
      <c r="AP164" s="8"/>
      <c r="AV164" s="70"/>
    </row>
    <row r="165" spans="1:48" s="7" customFormat="1" x14ac:dyDescent="0.35">
      <c r="A165" s="16"/>
      <c r="AO165" s="8"/>
      <c r="AP165" s="8"/>
      <c r="AV165" s="70"/>
    </row>
    <row r="166" spans="1:48" s="7" customFormat="1" x14ac:dyDescent="0.35">
      <c r="A166" s="16"/>
      <c r="AO166" s="8"/>
      <c r="AP166" s="8"/>
      <c r="AV166" s="70"/>
    </row>
    <row r="167" spans="1:48" s="7" customFormat="1" x14ac:dyDescent="0.35">
      <c r="A167" s="16"/>
      <c r="AO167" s="8"/>
      <c r="AP167" s="8"/>
      <c r="AV167" s="70"/>
    </row>
    <row r="168" spans="1:48" s="7" customFormat="1" x14ac:dyDescent="0.35">
      <c r="A168" s="16"/>
      <c r="AO168" s="8"/>
      <c r="AP168" s="8"/>
      <c r="AV168" s="70"/>
    </row>
    <row r="169" spans="1:48" s="7" customFormat="1" x14ac:dyDescent="0.35">
      <c r="A169" s="16"/>
      <c r="AO169" s="8"/>
      <c r="AP169" s="8"/>
      <c r="AV169" s="70"/>
    </row>
    <row r="170" spans="1:48" s="7" customFormat="1" x14ac:dyDescent="0.35">
      <c r="A170" s="16"/>
      <c r="AO170" s="8"/>
      <c r="AP170" s="8"/>
      <c r="AV170" s="70"/>
    </row>
    <row r="171" spans="1:48" s="7" customFormat="1" x14ac:dyDescent="0.35">
      <c r="A171" s="16"/>
      <c r="AO171" s="8"/>
      <c r="AP171" s="8"/>
      <c r="AV171" s="70"/>
    </row>
    <row r="172" spans="1:48" s="7" customFormat="1" x14ac:dyDescent="0.35">
      <c r="A172" s="16"/>
      <c r="AO172" s="8"/>
      <c r="AP172" s="8"/>
      <c r="AV172" s="70"/>
    </row>
    <row r="173" spans="1:48" s="7" customFormat="1" x14ac:dyDescent="0.35">
      <c r="A173" s="16"/>
      <c r="AO173" s="8"/>
      <c r="AP173" s="8"/>
      <c r="AV173" s="70"/>
    </row>
    <row r="174" spans="1:48" s="7" customFormat="1" x14ac:dyDescent="0.35">
      <c r="A174" s="16"/>
      <c r="AO174" s="8"/>
      <c r="AP174" s="8"/>
      <c r="AV174" s="70"/>
    </row>
    <row r="175" spans="1:48" s="7" customFormat="1" x14ac:dyDescent="0.35">
      <c r="A175" s="16"/>
      <c r="AO175" s="8"/>
      <c r="AP175" s="8"/>
      <c r="AV175" s="70"/>
    </row>
    <row r="176" spans="1:48" s="7" customFormat="1" x14ac:dyDescent="0.35">
      <c r="A176" s="16"/>
      <c r="AO176" s="8"/>
      <c r="AP176" s="8"/>
      <c r="AV176" s="70"/>
    </row>
    <row r="177" spans="1:48" s="7" customFormat="1" x14ac:dyDescent="0.35">
      <c r="A177" s="16"/>
      <c r="AO177" s="8"/>
      <c r="AP177" s="8"/>
      <c r="AV177" s="70"/>
    </row>
    <row r="178" spans="1:48" s="7" customFormat="1" x14ac:dyDescent="0.35">
      <c r="A178" s="16"/>
      <c r="AO178" s="8"/>
      <c r="AP178" s="8"/>
      <c r="AV178" s="70"/>
    </row>
    <row r="179" spans="1:48" s="7" customFormat="1" x14ac:dyDescent="0.35">
      <c r="A179" s="16"/>
      <c r="AO179" s="8"/>
      <c r="AP179" s="8"/>
      <c r="AV179" s="70"/>
    </row>
    <row r="180" spans="1:48" s="7" customFormat="1" x14ac:dyDescent="0.35">
      <c r="A180" s="16"/>
      <c r="AO180" s="8"/>
      <c r="AP180" s="8"/>
      <c r="AV180" s="70"/>
    </row>
    <row r="181" spans="1:48" s="7" customFormat="1" x14ac:dyDescent="0.35">
      <c r="A181" s="16"/>
      <c r="AO181" s="8"/>
      <c r="AP181" s="8"/>
      <c r="AV181" s="70"/>
    </row>
    <row r="182" spans="1:48" s="7" customFormat="1" x14ac:dyDescent="0.35">
      <c r="A182" s="16"/>
      <c r="AO182" s="8"/>
      <c r="AP182" s="8"/>
      <c r="AV182" s="70"/>
    </row>
    <row r="183" spans="1:48" s="7" customFormat="1" x14ac:dyDescent="0.35">
      <c r="A183" s="16"/>
      <c r="AO183" s="8"/>
      <c r="AP183" s="8"/>
      <c r="AV183" s="70"/>
    </row>
    <row r="184" spans="1:48" s="7" customFormat="1" x14ac:dyDescent="0.35">
      <c r="A184" s="16"/>
      <c r="AO184" s="8"/>
      <c r="AP184" s="8"/>
      <c r="AV184" s="70"/>
    </row>
    <row r="185" spans="1:48" s="7" customFormat="1" x14ac:dyDescent="0.35">
      <c r="A185" s="16"/>
      <c r="AO185" s="8"/>
      <c r="AP185" s="8"/>
      <c r="AV185" s="70"/>
    </row>
    <row r="186" spans="1:48" s="7" customFormat="1" x14ac:dyDescent="0.35">
      <c r="A186" s="16"/>
      <c r="AO186" s="8"/>
      <c r="AP186" s="8"/>
      <c r="AV186" s="70"/>
    </row>
    <row r="187" spans="1:48" s="7" customFormat="1" x14ac:dyDescent="0.35">
      <c r="A187" s="16"/>
      <c r="AO187" s="8"/>
      <c r="AP187" s="8"/>
      <c r="AV187" s="70"/>
    </row>
    <row r="188" spans="1:48" s="7" customFormat="1" x14ac:dyDescent="0.35">
      <c r="A188" s="16"/>
      <c r="AO188" s="8"/>
      <c r="AP188" s="8"/>
      <c r="AV188" s="70"/>
    </row>
    <row r="189" spans="1:48" s="7" customFormat="1" x14ac:dyDescent="0.35">
      <c r="A189" s="16"/>
      <c r="AO189" s="8"/>
      <c r="AP189" s="8"/>
      <c r="AV189" s="70"/>
    </row>
    <row r="190" spans="1:48" x14ac:dyDescent="0.3">
      <c r="A190" s="16"/>
    </row>
    <row r="191" spans="1:48" x14ac:dyDescent="0.3">
      <c r="A191" s="16"/>
    </row>
    <row r="192" spans="1:48" x14ac:dyDescent="0.3">
      <c r="A192" s="16"/>
    </row>
    <row r="193" spans="1:1" x14ac:dyDescent="0.3">
      <c r="A193" s="16"/>
    </row>
    <row r="194" spans="1:1" x14ac:dyDescent="0.3">
      <c r="A194" s="16"/>
    </row>
  </sheetData>
  <sheetProtection formatColumns="0" formatRows="0" insertColumns="0" insertRows="0" insertHyperlinks="0" deleteColumns="0" deleteRows="0" sort="0" autoFilter="0" pivotTables="0"/>
  <protectedRanges>
    <protectedRange algorithmName="SHA-512" hashValue="7FJpRjMClRRlEDaRiv2I45XnJ5nVe6Y81mjOK27+pd76r1+ad5pIvVkVn8vpLooPef4Z+bpcH2bfqg0F/3hsww==" saltValue="Lq5joJryvX0cvidipyTKig==" spinCount="100000" sqref="AI17" name="Total ore_2_1_1"/>
    <protectedRange algorithmName="SHA-512" hashValue="7FJpRjMClRRlEDaRiv2I45XnJ5nVe6Y81mjOK27+pd76r1+ad5pIvVkVn8vpLooPef4Z+bpcH2bfqg0F/3hsww==" saltValue="Lq5joJryvX0cvidipyTKig==" spinCount="100000" sqref="AI16" name="Total ore_2_1_1_1"/>
  </protectedRanges>
  <autoFilter ref="A107:BB149" xr:uid="{44623BCB-289A-4E1B-87AF-F8454ABAA33E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192">
    <mergeCell ref="A153:C153"/>
    <mergeCell ref="D153:AM153"/>
    <mergeCell ref="A154:C154"/>
    <mergeCell ref="A150:C150"/>
    <mergeCell ref="D150:AM150"/>
    <mergeCell ref="A151:C151"/>
    <mergeCell ref="D151:AM151"/>
    <mergeCell ref="A152:C152"/>
    <mergeCell ref="D152:AM152"/>
    <mergeCell ref="A147:C147"/>
    <mergeCell ref="D147:AM147"/>
    <mergeCell ref="A148:C148"/>
    <mergeCell ref="D148:AM148"/>
    <mergeCell ref="A149:C149"/>
    <mergeCell ref="D149:AM149"/>
    <mergeCell ref="B142:C142"/>
    <mergeCell ref="D142:AJ142"/>
    <mergeCell ref="B143:C143"/>
    <mergeCell ref="D143:AJ143"/>
    <mergeCell ref="A144:AJ144"/>
    <mergeCell ref="A145:AM146"/>
    <mergeCell ref="B139:C139"/>
    <mergeCell ref="D139:AJ139"/>
    <mergeCell ref="B140:C140"/>
    <mergeCell ref="D140:AJ140"/>
    <mergeCell ref="B141:C141"/>
    <mergeCell ref="D141:AJ141"/>
    <mergeCell ref="B136:C136"/>
    <mergeCell ref="D136:AJ136"/>
    <mergeCell ref="B137:C137"/>
    <mergeCell ref="D137:AJ137"/>
    <mergeCell ref="B138:C138"/>
    <mergeCell ref="D138:AJ138"/>
    <mergeCell ref="B133:C133"/>
    <mergeCell ref="D133:AJ133"/>
    <mergeCell ref="B134:C134"/>
    <mergeCell ref="D134:AJ134"/>
    <mergeCell ref="B135:C135"/>
    <mergeCell ref="D135:AJ135"/>
    <mergeCell ref="B130:C130"/>
    <mergeCell ref="D130:AJ130"/>
    <mergeCell ref="B131:C131"/>
    <mergeCell ref="D131:AJ131"/>
    <mergeCell ref="B132:C132"/>
    <mergeCell ref="D132:AJ132"/>
    <mergeCell ref="B127:C127"/>
    <mergeCell ref="D127:AJ127"/>
    <mergeCell ref="B128:C128"/>
    <mergeCell ref="D128:AJ128"/>
    <mergeCell ref="B129:C129"/>
    <mergeCell ref="D129:AJ129"/>
    <mergeCell ref="B124:C124"/>
    <mergeCell ref="D124:AJ124"/>
    <mergeCell ref="B125:C125"/>
    <mergeCell ref="D125:AJ125"/>
    <mergeCell ref="B126:C126"/>
    <mergeCell ref="D126:AJ126"/>
    <mergeCell ref="B121:C121"/>
    <mergeCell ref="D121:AJ121"/>
    <mergeCell ref="B122:C122"/>
    <mergeCell ref="D122:AJ122"/>
    <mergeCell ref="B123:C123"/>
    <mergeCell ref="D123:AJ123"/>
    <mergeCell ref="B118:C118"/>
    <mergeCell ref="D118:AJ118"/>
    <mergeCell ref="B119:C119"/>
    <mergeCell ref="D119:AJ119"/>
    <mergeCell ref="B120:C120"/>
    <mergeCell ref="D120:AJ120"/>
    <mergeCell ref="B115:C115"/>
    <mergeCell ref="D115:AJ115"/>
    <mergeCell ref="B116:C116"/>
    <mergeCell ref="D116:AJ116"/>
    <mergeCell ref="B117:C117"/>
    <mergeCell ref="D117:AJ117"/>
    <mergeCell ref="G111:AM111"/>
    <mergeCell ref="B112:C112"/>
    <mergeCell ref="D112:AJ112"/>
    <mergeCell ref="B113:C113"/>
    <mergeCell ref="D113:AJ113"/>
    <mergeCell ref="B114:C114"/>
    <mergeCell ref="D114:AJ114"/>
    <mergeCell ref="A107:F107"/>
    <mergeCell ref="G107:AM107"/>
    <mergeCell ref="AN107:AN111"/>
    <mergeCell ref="A108:F108"/>
    <mergeCell ref="G108:AM108"/>
    <mergeCell ref="A109:F109"/>
    <mergeCell ref="G109:AM109"/>
    <mergeCell ref="A110:F110"/>
    <mergeCell ref="G110:AM110"/>
    <mergeCell ref="A111:F111"/>
    <mergeCell ref="I28:O28"/>
    <mergeCell ref="P28:V28"/>
    <mergeCell ref="I27:O27"/>
    <mergeCell ref="P27:V27"/>
    <mergeCell ref="AJ12:AJ14"/>
    <mergeCell ref="AK12:AK14"/>
    <mergeCell ref="AL12:AL14"/>
    <mergeCell ref="I20:O20"/>
    <mergeCell ref="P20:V20"/>
    <mergeCell ref="I22:O22"/>
    <mergeCell ref="P22:V22"/>
    <mergeCell ref="B8:AF10"/>
    <mergeCell ref="B11:AF11"/>
    <mergeCell ref="A12:AF12"/>
    <mergeCell ref="AG12:AG14"/>
    <mergeCell ref="AH12:AH14"/>
    <mergeCell ref="AI12:AI14"/>
    <mergeCell ref="I25:O25"/>
    <mergeCell ref="P25:V25"/>
    <mergeCell ref="I26:O26"/>
    <mergeCell ref="P26:V26"/>
    <mergeCell ref="A44:K44"/>
    <mergeCell ref="R44:Y44"/>
    <mergeCell ref="A45:K45"/>
    <mergeCell ref="A46:K46"/>
    <mergeCell ref="B48:C48"/>
    <mergeCell ref="D48:E48"/>
    <mergeCell ref="F48:AF48"/>
    <mergeCell ref="AG48:AL48"/>
    <mergeCell ref="F49:AF49"/>
    <mergeCell ref="AG49:AL49"/>
    <mergeCell ref="F50:AF50"/>
    <mergeCell ref="AG50:AL50"/>
    <mergeCell ref="F51:AF51"/>
    <mergeCell ref="AG51:AL51"/>
    <mergeCell ref="F52:AF52"/>
    <mergeCell ref="AG52:AL52"/>
    <mergeCell ref="F53:AF53"/>
    <mergeCell ref="AG53:AL53"/>
    <mergeCell ref="F54:AF54"/>
    <mergeCell ref="AG54:AL54"/>
    <mergeCell ref="F55:AF55"/>
    <mergeCell ref="AG55:AL55"/>
    <mergeCell ref="F56:AF56"/>
    <mergeCell ref="AG56:AL56"/>
    <mergeCell ref="F57:AF57"/>
    <mergeCell ref="AG57:AL57"/>
    <mergeCell ref="F58:AF58"/>
    <mergeCell ref="AG58:AL58"/>
    <mergeCell ref="F59:AF59"/>
    <mergeCell ref="AG59:AL59"/>
    <mergeCell ref="F60:AF60"/>
    <mergeCell ref="AG60:AL60"/>
    <mergeCell ref="F61:AF61"/>
    <mergeCell ref="AG61:AL61"/>
    <mergeCell ref="F62:AF62"/>
    <mergeCell ref="AG62:AL62"/>
    <mergeCell ref="F63:AF63"/>
    <mergeCell ref="AG63:AL63"/>
    <mergeCell ref="F64:AF64"/>
    <mergeCell ref="AG64:AL64"/>
    <mergeCell ref="F65:AF65"/>
    <mergeCell ref="AG65:AL65"/>
    <mergeCell ref="F66:AF66"/>
    <mergeCell ref="AG66:AL66"/>
    <mergeCell ref="F67:AF67"/>
    <mergeCell ref="AG67:AL67"/>
    <mergeCell ref="F68:AF68"/>
    <mergeCell ref="AG68:AL68"/>
    <mergeCell ref="F69:AF69"/>
    <mergeCell ref="AG69:AL69"/>
    <mergeCell ref="F70:AF70"/>
    <mergeCell ref="AG70:AL70"/>
    <mergeCell ref="F71:AF71"/>
    <mergeCell ref="AG71:AL71"/>
    <mergeCell ref="F72:AF72"/>
    <mergeCell ref="AG72:AL72"/>
    <mergeCell ref="F73:AF73"/>
    <mergeCell ref="AG73:AL73"/>
    <mergeCell ref="F74:AF74"/>
    <mergeCell ref="AG74:AL74"/>
    <mergeCell ref="F75:AF75"/>
    <mergeCell ref="AG75:AL75"/>
    <mergeCell ref="F76:AF76"/>
    <mergeCell ref="AG76:AL76"/>
    <mergeCell ref="F77:AF77"/>
    <mergeCell ref="AG77:AL77"/>
    <mergeCell ref="F78:AF78"/>
    <mergeCell ref="AG78:AL78"/>
    <mergeCell ref="F79:AF79"/>
    <mergeCell ref="AG79:AL79"/>
    <mergeCell ref="A81:A82"/>
    <mergeCell ref="B81:C81"/>
    <mergeCell ref="D81:E81"/>
    <mergeCell ref="F81:G81"/>
    <mergeCell ref="H81:I81"/>
    <mergeCell ref="B82:C82"/>
    <mergeCell ref="D82:E82"/>
    <mergeCell ref="F82:G82"/>
    <mergeCell ref="H82:I82"/>
  </mergeCells>
  <dataValidations count="8">
    <dataValidation type="custom" allowBlank="1" showInputMessage="1" showErrorMessage="1" errorTitle="Eroare Validare Livrabil" error="Categoria livrabilului (AU) este obligatoriu." sqref="AV117 AV119:AV143" xr:uid="{CFE1F85F-4C87-42E7-970A-ACC4A8C8D1E5}">
      <formula1>AU119&lt;&gt;""</formula1>
    </dataValidation>
    <dataValidation type="custom" allowBlank="1" showInputMessage="1" showErrorMessage="1" errorTitle="Eroare Validare Livrabil" error="Categoria livrabilului (AU) este obligatoriu." sqref="AX119" xr:uid="{B6C53B07-0E22-4D81-8C15-B344A6F7032A}">
      <formula1>AU120&lt;&gt;""</formula1>
    </dataValidation>
    <dataValidation type="custom" allowBlank="1" showInputMessage="1" showErrorMessage="1" errorTitle="Eroare Validare Livrabil" error="Categoria livrabilului (AU) este obligatoriu." sqref="AV113:AV116" xr:uid="{0B3A7E19-79A8-486D-93FE-BB3A3C7B045C}">
      <formula1>AU117&lt;&gt;""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3:AX116" xr:uid="{4AE04836-B355-4605-A740-22EC69AA7BCC}">
      <formula1>AW117&lt;&gt;""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3:AT116" xr:uid="{916CFC25-C026-43FC-ADFA-1D7CD0AE9BEE}">
      <formula1>AND(AQ117="Nu", OR(AQ117="Da", AND(AQ117="Da", AR117&lt;&gt;"")), AS117&lt;&gt;"")</formula1>
    </dataValidation>
    <dataValidation type="custom" allowBlank="1" showInputMessage="1" showErrorMessage="1" errorTitle="Eroare Validare Livrabil" promptTitle="Validare livrabil" prompt="Asigură-te că celula ”Categorie livrabil 2” este completată înainte de a introduce date în Livrabil 2" sqref="AX117:AX143" xr:uid="{6227B363-2160-4E54-8F6B-622E30F8110D}">
      <formula1>AW119&lt;&gt;""</formula1>
    </dataValidation>
    <dataValidation type="custom" errorStyle="warning" showInputMessage="1" showErrorMessage="1" errorTitle="Eroare Validare RP" error="- Dacă AQ este „Da”, trebuie să completezi AR cu experții._x000a_- Stadiul livrabilului (AS) este obligatoriu._x000a_" promptTitle="Validare RP" prompt="Selectează „Da” sau „Nu” pentru Livrabil Comun._x000a_- AR: Completează experții dacă AQ este „Da”._x000a_- AS: Completează stadiul livrabilului (obligatoriu)." sqref="AT117:AT143" xr:uid="{CF725DDD-C0D4-44DF-BC5E-52D082BC8D77}">
      <formula1>AND(AQ119="Nu", OR(AQ119="Da", AND(AQ119="Da", AR119&lt;&gt;"")), AS119&lt;&gt;"")</formula1>
    </dataValidation>
    <dataValidation type="list" allowBlank="1" showInputMessage="1" showErrorMessage="1" sqref="C49:C79" xr:uid="{5B4B4C07-ABC5-4B07-B3A8-3014E8A06390}">
      <formula1>"WP1,WP2,WP3"</formula1>
    </dataValidation>
  </dataValidations>
  <pageMargins left="0.25" right="0.25" top="0.75" bottom="0.75" header="0.3" footer="0.3"/>
  <pageSetup paperSize="9" scale="1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39FB90-C764-4F8C-96C1-2C9D18F457C8}">
          <x14:formula1>
            <xm:f>Activitati!$A$3:$A$5</xm:f>
          </x14:formula1>
          <xm:sqref>D116:AJ120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BDAC-0981-48D3-9CFC-674164DF1EC6}">
  <sheetPr codeName="Foaie9"/>
  <dimension ref="A1:D11"/>
  <sheetViews>
    <sheetView zoomScale="70" zoomScaleNormal="70" workbookViewId="0">
      <selection activeCell="B1" sqref="B1"/>
    </sheetView>
  </sheetViews>
  <sheetFormatPr defaultColWidth="8.7265625" defaultRowHeight="14.5" x14ac:dyDescent="0.35"/>
  <cols>
    <col min="1" max="15" width="49.54296875" style="3" customWidth="1"/>
    <col min="16" max="16384" width="8.7265625" style="3"/>
  </cols>
  <sheetData>
    <row r="1" spans="1:4" s="2" customFormat="1" ht="15" thickBot="1" x14ac:dyDescent="0.4">
      <c r="A1" s="1" t="s">
        <v>88</v>
      </c>
      <c r="B1" s="2" t="s">
        <v>206</v>
      </c>
      <c r="C1" s="2" t="s">
        <v>207</v>
      </c>
      <c r="D1" s="24" t="s">
        <v>208</v>
      </c>
    </row>
    <row r="2" spans="1:4" ht="29" x14ac:dyDescent="0.35">
      <c r="A2" s="3" t="s">
        <v>209</v>
      </c>
      <c r="B2" s="3" t="s">
        <v>99</v>
      </c>
      <c r="C2" s="3" t="s">
        <v>127</v>
      </c>
      <c r="D2" s="3" t="s">
        <v>210</v>
      </c>
    </row>
    <row r="3" spans="1:4" ht="58" x14ac:dyDescent="0.35">
      <c r="A3" s="3" t="s">
        <v>211</v>
      </c>
      <c r="B3" s="3" t="s">
        <v>91</v>
      </c>
      <c r="C3" s="3" t="s">
        <v>125</v>
      </c>
      <c r="D3" s="3" t="s">
        <v>212</v>
      </c>
    </row>
    <row r="4" spans="1:4" ht="29" x14ac:dyDescent="0.35">
      <c r="A4" s="3" t="s">
        <v>89</v>
      </c>
      <c r="D4" s="3" t="s">
        <v>213</v>
      </c>
    </row>
    <row r="5" spans="1:4" x14ac:dyDescent="0.35">
      <c r="A5" s="3" t="s">
        <v>94</v>
      </c>
      <c r="D5" s="3" t="s">
        <v>214</v>
      </c>
    </row>
    <row r="6" spans="1:4" x14ac:dyDescent="0.35">
      <c r="D6" s="3" t="s">
        <v>215</v>
      </c>
    </row>
    <row r="7" spans="1:4" x14ac:dyDescent="0.35">
      <c r="D7" s="3" t="s">
        <v>216</v>
      </c>
    </row>
    <row r="8" spans="1:4" x14ac:dyDescent="0.35">
      <c r="D8" s="3" t="s">
        <v>217</v>
      </c>
    </row>
    <row r="9" spans="1:4" x14ac:dyDescent="0.35">
      <c r="D9" s="3" t="s">
        <v>218</v>
      </c>
    </row>
    <row r="10" spans="1:4" x14ac:dyDescent="0.35">
      <c r="D10" s="3" t="s">
        <v>219</v>
      </c>
    </row>
    <row r="11" spans="1:4" x14ac:dyDescent="0.35">
      <c r="D11" s="3" t="s">
        <v>220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43925E7DDDEE4D9A9363E124A7440E" ma:contentTypeVersion="18" ma:contentTypeDescription="Create a new document." ma:contentTypeScope="" ma:versionID="0007ffe4f58d2c15f346b2eabbfcaf7f">
  <xsd:schema xmlns:xsd="http://www.w3.org/2001/XMLSchema" xmlns:xs="http://www.w3.org/2001/XMLSchema" xmlns:p="http://schemas.microsoft.com/office/2006/metadata/properties" xmlns:ns2="426d1871-8ebd-4d76-a4b1-d669de8bb031" xmlns:ns3="99f79959-8c4d-4586-82eb-b14cac0d5854" targetNamespace="http://schemas.microsoft.com/office/2006/metadata/properties" ma:root="true" ma:fieldsID="f4c1a9a45688cd57079dab6e5642d00f" ns2:_="" ns3:_="">
    <xsd:import namespace="426d1871-8ebd-4d76-a4b1-d669de8bb031"/>
    <xsd:import namespace="99f79959-8c4d-4586-82eb-b14cac0d58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d1871-8ebd-4d76-a4b1-d669de8bb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cbeb6bc-7257-4da4-8a27-f047df424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79959-8c4d-4586-82eb-b14cac0d585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974a3b3-0ed8-4cec-bcc1-407513805cad}" ma:internalName="TaxCatchAll" ma:showField="CatchAllData" ma:web="99f79959-8c4d-4586-82eb-b14cac0d58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f79959-8c4d-4586-82eb-b14cac0d5854" xsi:nil="true"/>
    <lcf76f155ced4ddcb4097134ff3c332f xmlns="426d1871-8ebd-4d76-a4b1-d669de8bb031">
      <Terms xmlns="http://schemas.microsoft.com/office/infopath/2007/PartnerControls"/>
    </lcf76f155ced4ddcb4097134ff3c332f>
    <SharedWithUsers xmlns="99f79959-8c4d-4586-82eb-b14cac0d5854">
      <UserInfo>
        <DisplayName>Andreea Zalomir</DisplayName>
        <AccountId>73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7EF163-9C49-4022-B45F-1C6501B48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6d1871-8ebd-4d76-a4b1-d669de8bb031"/>
    <ds:schemaRef ds:uri="99f79959-8c4d-4586-82eb-b14cac0d5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FCB85C-45E1-43FE-BA6A-D96AF2A32E3F}">
  <ds:schemaRefs>
    <ds:schemaRef ds:uri="http://schemas.microsoft.com/office/2006/metadata/properties"/>
    <ds:schemaRef ds:uri="http://schemas.microsoft.com/office/infopath/2007/PartnerControls"/>
    <ds:schemaRef ds:uri="99f79959-8c4d-4586-82eb-b14cac0d5854"/>
    <ds:schemaRef ds:uri="426d1871-8ebd-4d76-a4b1-d669de8bb031"/>
  </ds:schemaRefs>
</ds:datastoreItem>
</file>

<file path=customXml/itemProps3.xml><?xml version="1.0" encoding="utf-8"?>
<ds:datastoreItem xmlns:ds="http://schemas.openxmlformats.org/officeDocument/2006/customXml" ds:itemID="{1716315F-5444-4E31-AE8E-02008739A4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6</vt:i4>
      </vt:variant>
      <vt:variant>
        <vt:lpstr>Zone denumite</vt:lpstr>
      </vt:variant>
      <vt:variant>
        <vt:i4>10</vt:i4>
      </vt:variant>
    </vt:vector>
  </HeadingPairs>
  <TitlesOfParts>
    <vt:vector size="16" baseType="lpstr">
      <vt:lpstr>IAN 2026</vt:lpstr>
      <vt:lpstr>FEBR 2026</vt:lpstr>
      <vt:lpstr>MAR 2026</vt:lpstr>
      <vt:lpstr>APR 2026</vt:lpstr>
      <vt:lpstr>MAI 2026</vt:lpstr>
      <vt:lpstr>Activitati</vt:lpstr>
      <vt:lpstr>'APR 2026'!Imprimare_titluri</vt:lpstr>
      <vt:lpstr>'FEBR 2026'!Imprimare_titluri</vt:lpstr>
      <vt:lpstr>'IAN 2026'!Imprimare_titluri</vt:lpstr>
      <vt:lpstr>'MAI 2026'!Imprimare_titluri</vt:lpstr>
      <vt:lpstr>'MAR 2026'!Imprimare_titluri</vt:lpstr>
      <vt:lpstr>'APR 2026'!s</vt:lpstr>
      <vt:lpstr>'FEBR 2026'!s</vt:lpstr>
      <vt:lpstr>'IAN 2026'!s</vt:lpstr>
      <vt:lpstr>'MAI 2026'!s</vt:lpstr>
      <vt:lpstr>'MAR 2026'!s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Roxana Ivanov</cp:lastModifiedBy>
  <cp:revision/>
  <dcterms:created xsi:type="dcterms:W3CDTF">2025-10-23T15:46:14Z</dcterms:created>
  <dcterms:modified xsi:type="dcterms:W3CDTF">2026-05-13T11:21:24Z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0x0101007B43925E7DDDEE4D9A9363E124A7440E</vt:lpwstr>
  </property>
</Properties>
</file>